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Revised RDQI\"/>
    </mc:Choice>
  </mc:AlternateContent>
  <xr:revisionPtr revIDLastSave="0" documentId="8_{A1FC88F3-2280-417C-99CC-118D7D57F6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Block A Valuation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1" i="2" l="1"/>
  <c r="D422" i="2"/>
  <c r="D420" i="2"/>
  <c r="D423" i="2"/>
  <c r="D393" i="2"/>
</calcChain>
</file>

<file path=xl/sharedStrings.xml><?xml version="1.0" encoding="utf-8"?>
<sst xmlns="http://schemas.openxmlformats.org/spreadsheetml/2006/main" count="37" uniqueCount="37">
  <si>
    <t>S&amp;P CAPITAL IQ COLLECTION TEMPLATE</t>
  </si>
  <si>
    <t>439 firm-years, 36 firms, 2012–2025</t>
  </si>
  <si>
    <t>HOW TO USE</t>
  </si>
  <si>
    <t>Rows are pre-keyed to the analysis sample. Do not add, delete or reorder rows: the merge is on entity_id and year, and reordering breaks nothing but inserting does.</t>
  </si>
  <si>
    <t>Shaded input columns are for you to fill. Grey key columns are fixed.</t>
  </si>
  <si>
    <t>Leave a cell EMPTY where S&amp;P has no value. Do not enter 0, NA, n/a or a dash: zero is a real value and would be read as one.</t>
  </si>
  <si>
    <t>Record currency and units for every row. A misread scale is the most damaging error in this file and it looks entirely plausible in a regression.</t>
  </si>
  <si>
    <t>EXTRACTION DISCIPLINE</t>
  </si>
  <si>
    <t>Extract each block in ONE pass for all firms and years, then save as a dated CSV. Do not refresh incrementally into a populated sheet — that was the cause of the earlier duplication incident.</t>
  </si>
  <si>
    <t>After each block, export to CSV and run:  python scripts/09_reconcile_financials.py --sp &lt;file&gt;.csv --out out --gaps-only</t>
  </si>
  <si>
    <t>That flags values repeated across consecutive years, reports missing cells by variable, and writes a gap list for the annual-report extractor.</t>
  </si>
  <si>
    <t>MEASUREMENT POINTS</t>
  </si>
  <si>
    <t>Market capitalisation: three months after fiscal year end, applied consistently. Fiscal years differ across the sample (June for several South African firms, December for others), so use each firm's own year end.</t>
  </si>
  <si>
    <t>Shares outstanding: at the reporting date, excluding treasury shares.</t>
  </si>
  <si>
    <t>Total debt: short-term plus long-term borrowings. Note in source_note whether lease liabilities are included.</t>
  </si>
  <si>
    <t>entity_id</t>
  </si>
  <si>
    <t>company</t>
  </si>
  <si>
    <t>year</t>
  </si>
  <si>
    <t>market_cap</t>
  </si>
  <si>
    <t>shares_outstanding</t>
  </si>
  <si>
    <t>book_equity</t>
  </si>
  <si>
    <t>eps_before_xo</t>
  </si>
  <si>
    <t>share_price</t>
  </si>
  <si>
    <t>currency</t>
  </si>
  <si>
    <t>units</t>
  </si>
  <si>
    <t>source_note</t>
  </si>
  <si>
    <t>S&amp;P company id</t>
  </si>
  <si>
    <t>name</t>
  </si>
  <si>
    <t>fiscal year</t>
  </si>
  <si>
    <t>Common shares in issue at reporting date, excl. treasury</t>
  </si>
  <si>
    <t>Total common equity</t>
  </si>
  <si>
    <t>Diluted EPS before extraordinary items</t>
  </si>
  <si>
    <t>Closing price at the measurement date</t>
  </si>
  <si>
    <t>Reporting currency (ISO code)</t>
  </si>
  <si>
    <t>ones / thousands / millions as reported</t>
  </si>
  <si>
    <t>Anything unusual about this row</t>
  </si>
  <si>
    <t xml:space="preserve">Market value of common equity, 3 months after fiscal year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</si>
</sst>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</font>
    <font>
      <sz val="11"/>
      <color rgb="FF404040"/>
      <name val="Calibri"/>
      <family val="2"/>
    </font>
    <font>
      <sz val="10"/>
      <color rgb="FF000000"/>
      <name val="Calibri"/>
      <family val="2"/>
    </font>
    <font>
      <b/>
      <sz val="12"/>
      <color rgb="FF1F3864"/>
      <name val="Calibri"/>
      <family val="2"/>
    </font>
    <font>
      <sz val="10"/>
      <color rgb="FFC00000"/>
      <name val="Calibri"/>
      <family val="2"/>
    </font>
    <font>
      <b/>
      <sz val="10"/>
      <color rgb="FFFFFFFF"/>
      <name val="Calibri"/>
      <family val="2"/>
    </font>
    <font>
      <i/>
      <sz val="8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7E6E6"/>
      </patternFill>
    </fill>
    <fill>
      <patternFill patternType="solid">
        <fgColor rgb="FFFFF9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4" borderId="1" xfId="0" applyNumberFormat="1" applyFill="1" applyBorder="1"/>
    <xf numFmtId="0" fontId="0" fillId="5" borderId="1" xfId="0" applyFill="1" applyBorder="1"/>
    <xf numFmtId="4" fontId="0" fillId="5" borderId="0" xfId="0" applyNumberFormat="1" applyFill="1" applyAlignment="1">
      <alignment horizontal="right"/>
    </xf>
    <xf numFmtId="0" fontId="0" fillId="5" borderId="0" xfId="0" applyFill="1"/>
    <xf numFmtId="3" fontId="0" fillId="5" borderId="0" xfId="0" applyNumberFormat="1" applyFill="1" applyAlignment="1">
      <alignment horizontal="right"/>
    </xf>
    <xf numFmtId="164" fontId="0" fillId="0" borderId="0" xfId="0" applyNumberFormat="1" applyAlignment="1">
      <alignment horizontal="right" vertical="top" wrapText="1"/>
    </xf>
    <xf numFmtId="164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5" x14ac:dyDescent="0.35"/>
  <cols>
    <col min="1" max="1" width="110" customWidth="1"/>
  </cols>
  <sheetData>
    <row r="1" spans="1:1" ht="20" customHeight="1" x14ac:dyDescent="0.35">
      <c r="A1" s="1" t="s">
        <v>0</v>
      </c>
    </row>
    <row r="2" spans="1:1" ht="20" customHeight="1" x14ac:dyDescent="0.35">
      <c r="A2" s="2" t="s">
        <v>1</v>
      </c>
    </row>
    <row r="3" spans="1:1" ht="8" customHeight="1" x14ac:dyDescent="0.35">
      <c r="A3" s="3"/>
    </row>
    <row r="4" spans="1:1" ht="20" customHeight="1" x14ac:dyDescent="0.35">
      <c r="A4" s="4" t="s">
        <v>2</v>
      </c>
    </row>
    <row r="5" spans="1:1" ht="34" customHeight="1" x14ac:dyDescent="0.35">
      <c r="A5" s="3" t="s">
        <v>3</v>
      </c>
    </row>
    <row r="6" spans="1:1" ht="20" customHeight="1" x14ac:dyDescent="0.35">
      <c r="A6" s="3" t="s">
        <v>4</v>
      </c>
    </row>
    <row r="7" spans="1:1" ht="34" customHeight="1" x14ac:dyDescent="0.35">
      <c r="A7" s="5" t="s">
        <v>5</v>
      </c>
    </row>
    <row r="8" spans="1:1" ht="34" customHeight="1" x14ac:dyDescent="0.35">
      <c r="A8" s="5" t="s">
        <v>6</v>
      </c>
    </row>
    <row r="9" spans="1:1" ht="8" customHeight="1" x14ac:dyDescent="0.35">
      <c r="A9" s="3"/>
    </row>
    <row r="10" spans="1:1" ht="20" customHeight="1" x14ac:dyDescent="0.35">
      <c r="A10" s="4" t="s">
        <v>7</v>
      </c>
    </row>
    <row r="11" spans="1:1" ht="34" customHeight="1" x14ac:dyDescent="0.35">
      <c r="A11" s="3" t="s">
        <v>8</v>
      </c>
    </row>
    <row r="12" spans="1:1" ht="34" customHeight="1" x14ac:dyDescent="0.35">
      <c r="A12" s="3" t="s">
        <v>9</v>
      </c>
    </row>
    <row r="13" spans="1:1" ht="34" customHeight="1" x14ac:dyDescent="0.35">
      <c r="A13" s="3" t="s">
        <v>10</v>
      </c>
    </row>
    <row r="14" spans="1:1" ht="8" customHeight="1" x14ac:dyDescent="0.35">
      <c r="A14" s="3"/>
    </row>
    <row r="15" spans="1:1" ht="20" customHeight="1" x14ac:dyDescent="0.35">
      <c r="A15" s="4" t="s">
        <v>11</v>
      </c>
    </row>
    <row r="16" spans="1:1" ht="34" customHeight="1" x14ac:dyDescent="0.35">
      <c r="A16" s="3" t="s">
        <v>12</v>
      </c>
    </row>
    <row r="17" spans="1:1" ht="20" customHeight="1" x14ac:dyDescent="0.35">
      <c r="A17" s="3" t="s">
        <v>13</v>
      </c>
    </row>
    <row r="18" spans="1:1" ht="34" customHeight="1" x14ac:dyDescent="0.35">
      <c r="A18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1"/>
  <sheetViews>
    <sheetView tabSelected="1" workbookViewId="0">
      <pane xSplit="2" ySplit="2" topLeftCell="C211" activePane="bottomRight" state="frozen"/>
      <selection pane="topRight"/>
      <selection pane="bottomLeft"/>
      <selection pane="bottomRight" activeCell="A393" sqref="A393"/>
    </sheetView>
  </sheetViews>
  <sheetFormatPr defaultRowHeight="14.5" x14ac:dyDescent="0.35"/>
  <cols>
    <col min="1" max="1" width="12" customWidth="1"/>
    <col min="2" max="2" width="30" customWidth="1"/>
    <col min="3" max="3" width="7.1796875" bestFit="1" customWidth="1"/>
    <col min="4" max="4" width="17.81640625" bestFit="1" customWidth="1"/>
    <col min="5" max="5" width="16.26953125" customWidth="1"/>
    <col min="6" max="6" width="11.54296875" customWidth="1"/>
    <col min="7" max="7" width="22.26953125" customWidth="1"/>
    <col min="8" max="8" width="22.54296875" customWidth="1"/>
    <col min="9" max="9" width="22" customWidth="1"/>
    <col min="10" max="10" width="26" customWidth="1"/>
    <col min="11" max="11" width="30" customWidth="1"/>
  </cols>
  <sheetData>
    <row r="1" spans="1:11" ht="30" customHeight="1" x14ac:dyDescent="0.3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</row>
    <row r="2" spans="1:11" ht="34" customHeight="1" x14ac:dyDescent="0.35">
      <c r="A2" s="7" t="s">
        <v>26</v>
      </c>
      <c r="B2" s="7" t="s">
        <v>27</v>
      </c>
      <c r="C2" s="7" t="s">
        <v>28</v>
      </c>
      <c r="D2" s="7" t="s">
        <v>36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</row>
    <row r="3" spans="1:11" x14ac:dyDescent="0.35">
      <c r="A3" s="8">
        <v>4075105</v>
      </c>
      <c r="B3" s="8"/>
      <c r="C3" s="8">
        <v>2012</v>
      </c>
      <c r="D3" s="10">
        <v>23054.401043639999</v>
      </c>
      <c r="E3" s="12">
        <v>496.72300000000001</v>
      </c>
      <c r="F3" s="12">
        <v>16948</v>
      </c>
      <c r="G3" s="12">
        <v>3.76</v>
      </c>
      <c r="H3" s="12">
        <v>46.44</v>
      </c>
      <c r="I3" s="9"/>
      <c r="J3" s="9"/>
      <c r="K3" s="9"/>
    </row>
    <row r="4" spans="1:11" x14ac:dyDescent="0.35">
      <c r="A4" s="8">
        <v>4075105</v>
      </c>
      <c r="B4" s="8"/>
      <c r="C4" s="8">
        <v>2013</v>
      </c>
      <c r="D4" s="10">
        <v>11465.957799240001</v>
      </c>
      <c r="E4" s="12">
        <v>497.678</v>
      </c>
      <c r="F4" s="12">
        <v>12909</v>
      </c>
      <c r="G4" s="12">
        <v>-5.2110000000000003</v>
      </c>
      <c r="H4" s="12">
        <v>23.03</v>
      </c>
      <c r="I4" s="9"/>
      <c r="J4" s="9"/>
      <c r="K4" s="9"/>
    </row>
    <row r="5" spans="1:11" x14ac:dyDescent="0.35">
      <c r="A5" s="8">
        <v>4075105</v>
      </c>
      <c r="B5" s="8"/>
      <c r="C5" s="8">
        <v>2014</v>
      </c>
      <c r="D5" s="10">
        <v>9427.2376148999992</v>
      </c>
      <c r="E5" s="12">
        <v>498.67</v>
      </c>
      <c r="F5" s="12">
        <v>13089</v>
      </c>
      <c r="G5" s="12">
        <v>1.3</v>
      </c>
      <c r="H5" s="12">
        <v>18.899999999999999</v>
      </c>
      <c r="I5" s="9"/>
      <c r="J5" s="9"/>
      <c r="K5" s="9"/>
    </row>
    <row r="6" spans="1:11" x14ac:dyDescent="0.35">
      <c r="A6" s="8">
        <v>4075105</v>
      </c>
      <c r="B6" s="8"/>
      <c r="C6" s="8">
        <v>2015</v>
      </c>
      <c r="D6" s="10">
        <v>9518.8238969600006</v>
      </c>
      <c r="E6" s="12">
        <v>529.65</v>
      </c>
      <c r="F6" s="12">
        <v>14292</v>
      </c>
      <c r="G6" s="12">
        <v>-2E-3</v>
      </c>
      <c r="H6" s="12">
        <v>17.989999999999998</v>
      </c>
      <c r="I6" s="9"/>
      <c r="J6" s="9"/>
      <c r="K6" s="9"/>
    </row>
    <row r="7" spans="1:11" x14ac:dyDescent="0.35">
      <c r="A7" s="8">
        <v>4075105</v>
      </c>
      <c r="B7" s="8"/>
      <c r="C7" s="8">
        <v>2016</v>
      </c>
      <c r="D7" s="10">
        <v>18082.6525</v>
      </c>
      <c r="E7" s="12">
        <v>531.46500000000003</v>
      </c>
      <c r="F7" s="12">
        <v>11874</v>
      </c>
      <c r="G7" s="18">
        <v>-0.42599999999999999</v>
      </c>
      <c r="H7" s="12">
        <v>34.07</v>
      </c>
      <c r="I7" s="9"/>
      <c r="J7" s="9"/>
      <c r="K7" s="9"/>
    </row>
    <row r="8" spans="1:11" x14ac:dyDescent="0.35">
      <c r="A8" s="8">
        <v>4075105</v>
      </c>
      <c r="B8" s="8"/>
      <c r="C8" s="8">
        <v>2017</v>
      </c>
      <c r="D8" s="10">
        <v>20010.784354399999</v>
      </c>
      <c r="E8" s="12">
        <v>533</v>
      </c>
      <c r="F8" s="12">
        <v>11519</v>
      </c>
      <c r="G8" s="18">
        <v>-0.14299999999999999</v>
      </c>
      <c r="H8" s="12">
        <v>37.520000000000003</v>
      </c>
      <c r="I8" s="9"/>
      <c r="J8" s="9"/>
      <c r="K8" s="9"/>
    </row>
    <row r="9" spans="1:11" x14ac:dyDescent="0.35">
      <c r="A9" s="8">
        <v>4075105</v>
      </c>
      <c r="B9" s="8"/>
      <c r="C9" s="8">
        <v>2018</v>
      </c>
      <c r="D9" s="10">
        <v>18456.6769002</v>
      </c>
      <c r="E9" s="12">
        <v>533</v>
      </c>
      <c r="F9" s="12">
        <v>11512</v>
      </c>
      <c r="G9" s="18">
        <v>0.52500000000000002</v>
      </c>
      <c r="H9" s="12">
        <v>34.65</v>
      </c>
      <c r="I9" s="9"/>
      <c r="J9" s="9"/>
      <c r="K9" s="9"/>
    </row>
    <row r="10" spans="1:11" x14ac:dyDescent="0.35">
      <c r="A10" s="8">
        <v>4075105</v>
      </c>
      <c r="B10" s="8"/>
      <c r="C10" s="8">
        <v>2019</v>
      </c>
      <c r="D10" s="10">
        <v>35621.625492200001</v>
      </c>
      <c r="E10" s="12">
        <v>808.11660700000004</v>
      </c>
      <c r="F10" s="12">
        <v>22417</v>
      </c>
      <c r="G10" s="18">
        <v>3.91</v>
      </c>
      <c r="H10" s="12">
        <v>43.45</v>
      </c>
      <c r="I10" s="9"/>
      <c r="J10" s="9"/>
      <c r="K10" s="9"/>
    </row>
    <row r="11" spans="1:11" x14ac:dyDescent="0.35">
      <c r="A11" s="8">
        <v>4075105</v>
      </c>
      <c r="B11" s="8"/>
      <c r="C11" s="8">
        <v>2020</v>
      </c>
      <c r="D11" s="10">
        <v>47990.380977610002</v>
      </c>
      <c r="E11" s="12">
        <v>800.30308000000002</v>
      </c>
      <c r="F11" s="12">
        <v>23879</v>
      </c>
      <c r="G11" s="18">
        <v>3.31</v>
      </c>
      <c r="H11" s="12">
        <v>59.89</v>
      </c>
      <c r="I11" s="9"/>
      <c r="J11" s="9"/>
      <c r="K11" s="9"/>
    </row>
    <row r="12" spans="1:11" x14ac:dyDescent="0.35">
      <c r="A12" s="8">
        <v>4075105</v>
      </c>
      <c r="B12" s="8"/>
      <c r="C12" s="8">
        <v>2021</v>
      </c>
      <c r="D12" s="10">
        <v>49555.575712580001</v>
      </c>
      <c r="E12" s="12">
        <v>792.45221300000003</v>
      </c>
      <c r="F12" s="12">
        <v>21861</v>
      </c>
      <c r="G12" s="18">
        <v>1.3879999999999999</v>
      </c>
      <c r="H12" s="12">
        <v>62.02</v>
      </c>
      <c r="I12" s="9"/>
      <c r="J12" s="9"/>
      <c r="K12" s="9"/>
    </row>
    <row r="13" spans="1:11" x14ac:dyDescent="0.35">
      <c r="A13" s="8">
        <v>4075105</v>
      </c>
      <c r="B13" s="8"/>
      <c r="C13" s="8">
        <v>2022</v>
      </c>
      <c r="D13" s="10">
        <v>37464.468103200001</v>
      </c>
      <c r="E13" s="12">
        <v>793</v>
      </c>
      <c r="F13" s="12">
        <v>19533</v>
      </c>
      <c r="G13" s="18">
        <v>-0.57999999999999996</v>
      </c>
      <c r="H13" s="12">
        <v>47.2</v>
      </c>
      <c r="I13" s="9"/>
      <c r="J13" s="9"/>
      <c r="K13" s="9"/>
    </row>
    <row r="14" spans="1:11" x14ac:dyDescent="0.35">
      <c r="A14" s="8">
        <v>4075105</v>
      </c>
      <c r="B14" s="8"/>
      <c r="C14" s="8">
        <v>2023</v>
      </c>
      <c r="D14" s="10">
        <v>47703.784694970003</v>
      </c>
      <c r="E14" s="12">
        <v>1152.544498</v>
      </c>
      <c r="F14" s="12">
        <v>29205</v>
      </c>
      <c r="G14" s="18">
        <v>-3</v>
      </c>
      <c r="H14" s="12">
        <v>41.39</v>
      </c>
      <c r="I14" s="9"/>
      <c r="J14" s="9"/>
      <c r="K14" s="9"/>
    </row>
    <row r="15" spans="1:11" x14ac:dyDescent="0.35">
      <c r="A15" s="8">
        <v>4075105</v>
      </c>
      <c r="B15" s="8"/>
      <c r="C15" s="8">
        <v>2024</v>
      </c>
      <c r="D15" s="10">
        <v>42058.569814579998</v>
      </c>
      <c r="E15" s="12">
        <v>1126.980806</v>
      </c>
      <c r="F15" s="12">
        <v>30109</v>
      </c>
      <c r="G15" s="18">
        <v>2.86</v>
      </c>
      <c r="H15" s="12">
        <v>37.22</v>
      </c>
      <c r="I15" s="9"/>
      <c r="J15" s="9"/>
      <c r="K15" s="9"/>
    </row>
    <row r="16" spans="1:11" x14ac:dyDescent="0.35">
      <c r="A16" s="8">
        <v>4075105</v>
      </c>
      <c r="B16" s="8"/>
      <c r="C16" s="8">
        <v>2025</v>
      </c>
      <c r="D16" s="10">
        <v>108784.73426524999</v>
      </c>
      <c r="E16" s="12">
        <v>1088.5308480000001</v>
      </c>
      <c r="F16" s="12">
        <v>34042</v>
      </c>
      <c r="G16" s="18">
        <v>6.39</v>
      </c>
      <c r="H16" s="12">
        <v>99.85</v>
      </c>
      <c r="I16" s="9"/>
      <c r="J16" s="9"/>
      <c r="K16" s="9"/>
    </row>
    <row r="17" spans="1:11" x14ac:dyDescent="0.35">
      <c r="A17" s="8">
        <v>4120225</v>
      </c>
      <c r="B17" s="8"/>
      <c r="C17" s="8">
        <v>2012</v>
      </c>
      <c r="D17" s="10">
        <v>34969.431023328449</v>
      </c>
      <c r="E17" s="12">
        <v>1001.1079999999999</v>
      </c>
      <c r="F17" s="12">
        <v>24636</v>
      </c>
      <c r="G17" s="12">
        <v>-0.35299999999999998</v>
      </c>
      <c r="H17" s="12">
        <v>34.933533987539995</v>
      </c>
      <c r="I17" s="9"/>
      <c r="J17" s="9"/>
      <c r="K17" s="9"/>
    </row>
    <row r="18" spans="1:11" x14ac:dyDescent="0.35">
      <c r="A18" s="8">
        <v>4120225</v>
      </c>
      <c r="B18" s="8"/>
      <c r="C18" s="8">
        <v>2013</v>
      </c>
      <c r="D18" s="10">
        <v>20511.546835104087</v>
      </c>
      <c r="E18" s="12">
        <v>1164.652</v>
      </c>
      <c r="F18" s="12">
        <v>16001</v>
      </c>
      <c r="G18" s="12">
        <v>-9.65</v>
      </c>
      <c r="H18" s="12">
        <v>17.611732373709998</v>
      </c>
      <c r="I18" s="9"/>
      <c r="J18" s="9"/>
      <c r="K18" s="9"/>
    </row>
    <row r="19" spans="1:11" x14ac:dyDescent="0.35">
      <c r="A19" s="8">
        <v>4120225</v>
      </c>
      <c r="B19" s="8"/>
      <c r="C19" s="8">
        <v>2014</v>
      </c>
      <c r="D19" s="10">
        <v>12591.348957695525</v>
      </c>
      <c r="E19" s="12">
        <v>1164.67</v>
      </c>
      <c r="F19" s="12">
        <v>12862</v>
      </c>
      <c r="G19" s="12">
        <v>-2.5</v>
      </c>
      <c r="H19" s="12">
        <v>10.811090863199999</v>
      </c>
      <c r="I19" s="9"/>
      <c r="J19" s="9"/>
      <c r="K19" s="9"/>
    </row>
    <row r="20" spans="1:11" x14ac:dyDescent="0.35">
      <c r="A20" s="8">
        <v>4120225</v>
      </c>
      <c r="B20" s="8"/>
      <c r="C20" s="8">
        <v>2015</v>
      </c>
      <c r="D20" s="10">
        <v>8596.5350464995227</v>
      </c>
      <c r="E20" s="12">
        <v>1165.0809999999999</v>
      </c>
      <c r="F20" s="12">
        <v>9455</v>
      </c>
      <c r="G20" s="12">
        <v>-2.44</v>
      </c>
      <c r="H20" s="12">
        <v>7.3802865664000006</v>
      </c>
      <c r="I20" s="9"/>
      <c r="J20" s="9"/>
      <c r="K20" s="9"/>
    </row>
    <row r="21" spans="1:11" x14ac:dyDescent="0.35">
      <c r="A21" s="8">
        <v>4120225</v>
      </c>
      <c r="B21" s="8"/>
      <c r="C21" s="8">
        <v>2016</v>
      </c>
      <c r="D21" s="10">
        <v>18645.576223978533</v>
      </c>
      <c r="E21" s="12">
        <v>1165.5740000000001</v>
      </c>
      <c r="F21" s="12">
        <v>10313</v>
      </c>
      <c r="G21" s="18">
        <v>0.56000000000000005</v>
      </c>
      <c r="H21" s="12">
        <v>15.998868387669999</v>
      </c>
      <c r="I21" s="9"/>
      <c r="J21" s="9"/>
      <c r="K21" s="9"/>
    </row>
    <row r="22" spans="1:11" x14ac:dyDescent="0.35">
      <c r="A22" s="8">
        <v>4120225</v>
      </c>
      <c r="B22" s="8"/>
      <c r="C22" s="8">
        <v>2017</v>
      </c>
      <c r="D22" s="10">
        <v>16906.949829666013</v>
      </c>
      <c r="E22" s="12">
        <v>1166.577</v>
      </c>
      <c r="F22" s="12">
        <v>11067</v>
      </c>
      <c r="G22" s="18">
        <v>1.23</v>
      </c>
      <c r="H22" s="12">
        <v>14.4966828231</v>
      </c>
      <c r="I22" s="9"/>
      <c r="J22" s="9"/>
      <c r="K22" s="9"/>
    </row>
    <row r="23" spans="1:11" x14ac:dyDescent="0.35">
      <c r="A23" s="8">
        <v>4120225</v>
      </c>
      <c r="B23" s="8"/>
      <c r="C23" s="8">
        <v>2018</v>
      </c>
      <c r="D23" s="10">
        <v>15769.962049458029</v>
      </c>
      <c r="E23" s="12">
        <v>1167.84691</v>
      </c>
      <c r="F23" s="12">
        <v>9385</v>
      </c>
      <c r="G23" s="18">
        <v>-1.3240000000000001</v>
      </c>
      <c r="H23" s="12">
        <v>13.506383111</v>
      </c>
      <c r="I23" s="9"/>
      <c r="J23" s="9"/>
      <c r="K23" s="9"/>
    </row>
    <row r="24" spans="1:11" x14ac:dyDescent="0.35">
      <c r="A24" s="8">
        <v>4120225</v>
      </c>
      <c r="B24" s="8"/>
      <c r="C24" s="8">
        <v>2019</v>
      </c>
      <c r="D24" s="10">
        <v>33060.092968228993</v>
      </c>
      <c r="E24" s="12">
        <v>1777.9266110000001</v>
      </c>
      <c r="F24" s="12">
        <v>29827</v>
      </c>
      <c r="G24" s="18">
        <v>2.258</v>
      </c>
      <c r="H24" s="12">
        <v>18.596259938159999</v>
      </c>
      <c r="I24" s="9"/>
      <c r="J24" s="9"/>
      <c r="K24" s="9"/>
    </row>
    <row r="25" spans="1:11" x14ac:dyDescent="0.35">
      <c r="A25" s="8">
        <v>4120225</v>
      </c>
      <c r="B25" s="8"/>
      <c r="C25" s="8">
        <v>2020</v>
      </c>
      <c r="D25" s="10">
        <v>40469.039083243544</v>
      </c>
      <c r="E25" s="12">
        <v>1778.1898940000001</v>
      </c>
      <c r="F25" s="12">
        <v>31710</v>
      </c>
      <c r="G25" s="18">
        <v>1.3069999999999999</v>
      </c>
      <c r="H25" s="12">
        <v>22.759378436999999</v>
      </c>
      <c r="I25" s="9"/>
      <c r="J25" s="9"/>
      <c r="K25" s="9"/>
    </row>
    <row r="26" spans="1:11" x14ac:dyDescent="0.35">
      <c r="A26" s="8">
        <v>4120225</v>
      </c>
      <c r="B26" s="8"/>
      <c r="C26" s="8">
        <v>2021</v>
      </c>
      <c r="D26" s="10">
        <v>33814.431698572997</v>
      </c>
      <c r="E26" s="12">
        <v>1779.3310369999999</v>
      </c>
      <c r="F26" s="12">
        <v>32307</v>
      </c>
      <c r="G26" s="18">
        <v>1.137</v>
      </c>
      <c r="H26" s="12">
        <v>19.004496291300001</v>
      </c>
      <c r="I26" s="9"/>
      <c r="J26" s="9"/>
      <c r="K26" s="9"/>
    </row>
    <row r="27" spans="1:11" x14ac:dyDescent="0.35">
      <c r="A27" s="8">
        <v>4120225</v>
      </c>
      <c r="B27" s="8"/>
      <c r="C27" s="8">
        <v>2022</v>
      </c>
      <c r="D27" s="10">
        <v>30153.098104665678</v>
      </c>
      <c r="E27" s="12">
        <v>1755.349661</v>
      </c>
      <c r="F27" s="12">
        <v>31289</v>
      </c>
      <c r="G27" s="18">
        <v>0.24</v>
      </c>
      <c r="H27" s="12">
        <v>17.149148074189998</v>
      </c>
      <c r="I27" s="9"/>
      <c r="J27" s="9"/>
      <c r="K27" s="9"/>
    </row>
    <row r="28" spans="1:11" x14ac:dyDescent="0.35">
      <c r="A28" s="8">
        <v>4120225</v>
      </c>
      <c r="B28" s="8"/>
      <c r="C28" s="8">
        <v>2023</v>
      </c>
      <c r="D28" s="10">
        <v>31823.612861537538</v>
      </c>
      <c r="E28" s="12">
        <v>1755.5695539999999</v>
      </c>
      <c r="F28" s="12">
        <v>32002</v>
      </c>
      <c r="G28" s="18">
        <v>0.72</v>
      </c>
      <c r="H28" s="12">
        <v>18.127711778400002</v>
      </c>
      <c r="I28" s="9"/>
      <c r="J28" s="9"/>
      <c r="K28" s="9"/>
    </row>
    <row r="29" spans="1:11" x14ac:dyDescent="0.35">
      <c r="A29" s="8">
        <v>4120225</v>
      </c>
      <c r="B29" s="8"/>
      <c r="C29" s="8">
        <v>2024</v>
      </c>
      <c r="D29" s="10">
        <v>27080.152756833439</v>
      </c>
      <c r="E29" s="12">
        <v>1727.1004069999999</v>
      </c>
      <c r="F29" s="12">
        <v>33256</v>
      </c>
      <c r="G29" s="18">
        <v>1.22</v>
      </c>
      <c r="H29" s="12">
        <v>15.491646047609999</v>
      </c>
      <c r="I29" s="9"/>
      <c r="J29" s="9"/>
      <c r="K29" s="9"/>
    </row>
    <row r="30" spans="1:11" x14ac:dyDescent="0.35">
      <c r="A30" s="8">
        <v>4120225</v>
      </c>
      <c r="B30" s="8"/>
      <c r="C30" s="8">
        <v>2025</v>
      </c>
      <c r="D30" s="10">
        <v>73583.402373521749</v>
      </c>
      <c r="E30" s="12">
        <v>1675.3603949999999</v>
      </c>
      <c r="F30" s="12">
        <v>35916</v>
      </c>
      <c r="G30" s="18">
        <v>2.9249999999999998</v>
      </c>
      <c r="H30" s="12">
        <v>43.606686499140004</v>
      </c>
      <c r="I30" s="9"/>
      <c r="J30" s="9"/>
      <c r="K30" s="9"/>
    </row>
    <row r="31" spans="1:11" x14ac:dyDescent="0.35">
      <c r="A31" s="8">
        <v>4144674</v>
      </c>
      <c r="B31" s="8"/>
      <c r="C31" s="8">
        <v>2012</v>
      </c>
      <c r="D31" s="10">
        <v>8913.982410930781</v>
      </c>
      <c r="E31" s="12">
        <v>729.53681300000005</v>
      </c>
      <c r="F31" s="12">
        <v>6254.4500515559994</v>
      </c>
      <c r="G31" s="12">
        <v>0.4332921555832685</v>
      </c>
      <c r="H31" s="12">
        <v>12.23034299</v>
      </c>
      <c r="I31" s="9"/>
      <c r="J31" s="9"/>
      <c r="K31" s="9"/>
    </row>
    <row r="32" spans="1:11" x14ac:dyDescent="0.35">
      <c r="A32" s="8">
        <v>4144674</v>
      </c>
      <c r="B32" s="8"/>
      <c r="C32" s="8">
        <v>2013</v>
      </c>
      <c r="D32" s="10">
        <v>2327.0361557422284</v>
      </c>
      <c r="E32" s="12">
        <v>767.16026299999999</v>
      </c>
      <c r="F32" s="12">
        <v>4045.2000000000003</v>
      </c>
      <c r="G32" s="12">
        <v>-0.79</v>
      </c>
      <c r="H32" s="12">
        <v>3.1370117907700004</v>
      </c>
      <c r="I32" s="9"/>
      <c r="J32" s="9"/>
      <c r="K32" s="9"/>
    </row>
    <row r="33" spans="1:11" x14ac:dyDescent="0.35">
      <c r="A33" s="8">
        <v>4144674</v>
      </c>
      <c r="B33" s="8"/>
      <c r="C33" s="8">
        <v>2014</v>
      </c>
      <c r="D33" s="10">
        <v>3486.7650700675349</v>
      </c>
      <c r="E33" s="12">
        <v>771.41649099999995</v>
      </c>
      <c r="F33" s="12">
        <v>3663.3</v>
      </c>
      <c r="G33" s="12">
        <v>1.7000000000000001E-2</v>
      </c>
      <c r="H33" s="12">
        <v>4.5288867057800006</v>
      </c>
      <c r="I33" s="9"/>
      <c r="J33" s="9"/>
      <c r="K33" s="9"/>
    </row>
    <row r="34" spans="1:11" x14ac:dyDescent="0.35">
      <c r="A34" s="8">
        <v>4144674</v>
      </c>
      <c r="B34" s="8"/>
      <c r="C34" s="8">
        <v>2015</v>
      </c>
      <c r="D34" s="10">
        <v>2121.2116438404614</v>
      </c>
      <c r="E34" s="12">
        <v>776.59416199999998</v>
      </c>
      <c r="F34" s="12">
        <v>2768</v>
      </c>
      <c r="G34" s="12">
        <v>-0.31</v>
      </c>
      <c r="H34" s="12">
        <v>2.7290246682000001</v>
      </c>
      <c r="I34" s="9"/>
      <c r="J34" s="9"/>
      <c r="K34" s="9"/>
    </row>
    <row r="35" spans="1:11" x14ac:dyDescent="0.35">
      <c r="A35" s="8">
        <v>4144674</v>
      </c>
      <c r="B35" s="8"/>
      <c r="C35" s="8">
        <v>2016</v>
      </c>
      <c r="D35" s="10">
        <v>2608.493716639266</v>
      </c>
      <c r="E35" s="12">
        <v>820.606945</v>
      </c>
      <c r="F35" s="12">
        <v>3173.3</v>
      </c>
      <c r="G35" s="18">
        <v>0.19</v>
      </c>
      <c r="H35" s="12">
        <v>3.1788514015800002</v>
      </c>
      <c r="I35" s="9"/>
      <c r="J35" s="9"/>
      <c r="K35" s="9"/>
    </row>
    <row r="36" spans="1:11" x14ac:dyDescent="0.35">
      <c r="A36" s="8">
        <v>4144674</v>
      </c>
      <c r="B36" s="8"/>
      <c r="C36" s="8">
        <v>2017</v>
      </c>
      <c r="D36" s="10">
        <v>3587.8991779144621</v>
      </c>
      <c r="E36" s="12">
        <v>820.61421700000005</v>
      </c>
      <c r="F36" s="12">
        <v>3403</v>
      </c>
      <c r="G36" s="18">
        <v>-0.04</v>
      </c>
      <c r="H36" s="12">
        <v>4.3722118183999994</v>
      </c>
      <c r="I36" s="9"/>
      <c r="J36" s="9"/>
      <c r="K36" s="9"/>
    </row>
    <row r="37" spans="1:11" x14ac:dyDescent="0.35">
      <c r="A37" s="8">
        <v>4144674</v>
      </c>
      <c r="B37" s="8"/>
      <c r="C37" s="8">
        <v>2018</v>
      </c>
      <c r="D37" s="10">
        <v>2817.4340561994636</v>
      </c>
      <c r="E37" s="12">
        <v>821.53270699999996</v>
      </c>
      <c r="F37" s="12">
        <v>2706.9</v>
      </c>
      <c r="G37" s="18">
        <v>-0.42399999999999999</v>
      </c>
      <c r="H37" s="12">
        <v>3.4294849519600001</v>
      </c>
      <c r="I37" s="9"/>
      <c r="J37" s="9"/>
      <c r="K37" s="9"/>
    </row>
    <row r="38" spans="1:11" x14ac:dyDescent="0.35">
      <c r="A38" s="8">
        <v>4144674</v>
      </c>
      <c r="B38" s="8"/>
      <c r="C38" s="8">
        <v>2019</v>
      </c>
      <c r="D38" s="10">
        <v>5677.3187369104626</v>
      </c>
      <c r="E38" s="12">
        <v>828.63270699999998</v>
      </c>
      <c r="F38" s="12">
        <v>2908.7000000000003</v>
      </c>
      <c r="G38" s="18">
        <v>0.19</v>
      </c>
      <c r="H38" s="12">
        <v>6.8514296973200004</v>
      </c>
      <c r="I38" s="9"/>
      <c r="J38" s="9"/>
      <c r="K38" s="9"/>
    </row>
    <row r="39" spans="1:11" x14ac:dyDescent="0.35">
      <c r="A39" s="8">
        <v>4144674</v>
      </c>
      <c r="B39" s="8"/>
      <c r="C39" s="8">
        <v>2020</v>
      </c>
      <c r="D39" s="10">
        <v>8292.6860400569185</v>
      </c>
      <c r="E39" s="12">
        <v>883.33351800000003</v>
      </c>
      <c r="F39" s="12">
        <v>3828.2000000000003</v>
      </c>
      <c r="G39" s="18">
        <v>0.80800000000000005</v>
      </c>
      <c r="H39" s="12">
        <v>9.3879444978300004</v>
      </c>
      <c r="I39" s="9"/>
      <c r="J39" s="9"/>
      <c r="K39" s="9"/>
    </row>
    <row r="40" spans="1:11" x14ac:dyDescent="0.35">
      <c r="A40" s="8">
        <v>4144674</v>
      </c>
      <c r="B40" s="8"/>
      <c r="C40" s="8">
        <v>2021</v>
      </c>
      <c r="D40" s="10">
        <v>9685.7870131937398</v>
      </c>
      <c r="E40" s="12">
        <v>887.71734800000002</v>
      </c>
      <c r="F40" s="12">
        <v>4130.1000000000004</v>
      </c>
      <c r="G40" s="18">
        <v>0.90800000000000003</v>
      </c>
      <c r="H40" s="12">
        <v>10.910890763839998</v>
      </c>
      <c r="I40" s="9"/>
      <c r="J40" s="9"/>
      <c r="K40" s="9"/>
    </row>
    <row r="41" spans="1:11" x14ac:dyDescent="0.35">
      <c r="A41" s="8">
        <v>4144674</v>
      </c>
      <c r="B41" s="8"/>
      <c r="C41" s="8">
        <v>2022</v>
      </c>
      <c r="D41" s="10">
        <v>9235.6030200897731</v>
      </c>
      <c r="E41" s="12">
        <v>891.37857099999997</v>
      </c>
      <c r="F41" s="12">
        <v>4339.5</v>
      </c>
      <c r="G41" s="18">
        <v>0.77</v>
      </c>
      <c r="H41" s="12">
        <v>10.36103325855</v>
      </c>
      <c r="I41" s="9"/>
      <c r="J41" s="9"/>
      <c r="K41" s="9"/>
    </row>
    <row r="42" spans="1:11" x14ac:dyDescent="0.35">
      <c r="A42" s="8">
        <v>4144674</v>
      </c>
      <c r="B42" s="8"/>
      <c r="C42" s="8">
        <v>2023</v>
      </c>
      <c r="D42" s="10">
        <v>13569.568761780045</v>
      </c>
      <c r="E42" s="12">
        <v>893.54081299999996</v>
      </c>
      <c r="F42" s="12">
        <v>4619.8</v>
      </c>
      <c r="G42" s="18">
        <v>0.79400000000000004</v>
      </c>
      <c r="H42" s="12">
        <v>15.18628871156</v>
      </c>
      <c r="I42" s="9"/>
      <c r="J42" s="9"/>
      <c r="K42" s="9"/>
    </row>
    <row r="43" spans="1:11" x14ac:dyDescent="0.35">
      <c r="A43" s="8">
        <v>4144674</v>
      </c>
      <c r="B43" s="8"/>
      <c r="C43" s="8">
        <v>2024</v>
      </c>
      <c r="D43" s="10">
        <v>11712.89228716574</v>
      </c>
      <c r="E43" s="12">
        <v>895.02424699999995</v>
      </c>
      <c r="F43" s="12">
        <v>5366.9000000000005</v>
      </c>
      <c r="G43" s="18">
        <v>1.3779999999999999</v>
      </c>
      <c r="H43" s="12">
        <v>13.0866759492</v>
      </c>
      <c r="I43" s="9"/>
      <c r="J43" s="9"/>
      <c r="K43" s="9"/>
    </row>
    <row r="44" spans="1:11" x14ac:dyDescent="0.35">
      <c r="A44" s="8">
        <v>4144674</v>
      </c>
      <c r="B44" s="8"/>
      <c r="C44" s="8">
        <v>2025</v>
      </c>
      <c r="D44" s="10">
        <v>39229.340810464899</v>
      </c>
      <c r="E44" s="12">
        <v>894.41854000000001</v>
      </c>
      <c r="F44" s="12">
        <v>8672.4</v>
      </c>
      <c r="G44" s="18">
        <v>3.9430000000000001</v>
      </c>
      <c r="H44" s="12">
        <v>43.830478271350003</v>
      </c>
      <c r="I44" s="9"/>
      <c r="J44" s="9"/>
      <c r="K44" s="9"/>
    </row>
    <row r="45" spans="1:11" x14ac:dyDescent="0.35">
      <c r="A45" s="8">
        <v>4149660</v>
      </c>
      <c r="B45" s="8"/>
      <c r="C45" s="8">
        <v>2012</v>
      </c>
      <c r="D45" s="10">
        <v>110411.75788341458</v>
      </c>
      <c r="E45" s="12">
        <v>1847.0170000000001</v>
      </c>
      <c r="F45" s="12">
        <v>57740</v>
      </c>
      <c r="G45" s="12">
        <v>-1.6339999999999999</v>
      </c>
      <c r="H45" s="12">
        <v>57.074360032905005</v>
      </c>
      <c r="I45" s="9"/>
      <c r="J45" s="9"/>
      <c r="K45" s="9"/>
    </row>
    <row r="46" spans="1:11" x14ac:dyDescent="0.35">
      <c r="A46" s="8">
        <v>4149660</v>
      </c>
      <c r="B46" s="8"/>
      <c r="C46" s="8">
        <v>2013</v>
      </c>
      <c r="D46" s="10">
        <v>106363.82648976905</v>
      </c>
      <c r="E46" s="12">
        <v>1848.4549999999999</v>
      </c>
      <c r="F46" s="12">
        <v>53502</v>
      </c>
      <c r="G46" s="12">
        <v>1.9730000000000001</v>
      </c>
      <c r="H46" s="12">
        <v>56.481404784885001</v>
      </c>
      <c r="I46" s="9"/>
      <c r="J46" s="9"/>
      <c r="K46" s="9"/>
    </row>
    <row r="47" spans="1:11" x14ac:dyDescent="0.35">
      <c r="A47" s="8">
        <v>4149660</v>
      </c>
      <c r="B47" s="8"/>
      <c r="C47" s="8">
        <v>2014</v>
      </c>
      <c r="D47" s="10">
        <v>86790.7263404189</v>
      </c>
      <c r="E47" s="12">
        <v>1849.9069999999999</v>
      </c>
      <c r="F47" s="12">
        <v>54594</v>
      </c>
      <c r="G47" s="12">
        <v>3.512</v>
      </c>
      <c r="H47" s="12">
        <v>46.754461139999997</v>
      </c>
      <c r="I47" s="9"/>
      <c r="J47" s="9"/>
      <c r="K47" s="9"/>
    </row>
    <row r="48" spans="1:11" x14ac:dyDescent="0.35">
      <c r="A48" s="8">
        <v>4149660</v>
      </c>
      <c r="B48" s="8"/>
      <c r="C48" s="8">
        <v>2015</v>
      </c>
      <c r="D48" s="10">
        <v>53916.990046222985</v>
      </c>
      <c r="E48" s="12">
        <v>1798.2360000000001</v>
      </c>
      <c r="F48" s="12">
        <v>44128</v>
      </c>
      <c r="G48" s="12">
        <v>-0.47499999999999998</v>
      </c>
      <c r="H48" s="12">
        <v>29.191859607274999</v>
      </c>
      <c r="I48" s="9"/>
      <c r="J48" s="9"/>
      <c r="K48" s="9"/>
    </row>
    <row r="49" spans="1:11" x14ac:dyDescent="0.35">
      <c r="A49" s="8">
        <v>4149660</v>
      </c>
      <c r="B49" s="8"/>
      <c r="C49" s="8">
        <v>2016</v>
      </c>
      <c r="D49" s="10">
        <v>71988.424262960049</v>
      </c>
      <c r="E49" s="12">
        <v>1799.0119999999999</v>
      </c>
      <c r="F49" s="12">
        <v>45730</v>
      </c>
      <c r="G49" s="18">
        <v>2.5529999999999999</v>
      </c>
      <c r="H49" s="12">
        <v>38.997678785909997</v>
      </c>
      <c r="I49" s="9"/>
      <c r="J49" s="9"/>
      <c r="K49" s="9"/>
    </row>
    <row r="50" spans="1:11" x14ac:dyDescent="0.35">
      <c r="A50" s="8">
        <v>4149660</v>
      </c>
      <c r="B50" s="8"/>
      <c r="C50" s="8">
        <v>2017</v>
      </c>
      <c r="D50" s="10">
        <v>95913.519136993476</v>
      </c>
      <c r="E50" s="12">
        <v>1752.8366390000001</v>
      </c>
      <c r="F50" s="12">
        <v>51115</v>
      </c>
      <c r="G50" s="18">
        <v>4.8689999999999998</v>
      </c>
      <c r="H50" s="12">
        <v>53.281070469180001</v>
      </c>
      <c r="I50" s="9"/>
      <c r="J50" s="9"/>
      <c r="K50" s="9"/>
    </row>
    <row r="51" spans="1:11" x14ac:dyDescent="0.35">
      <c r="A51" s="8">
        <v>4149660</v>
      </c>
      <c r="B51" s="8"/>
      <c r="C51" s="8">
        <v>2018</v>
      </c>
      <c r="D51" s="10">
        <v>81208.880141142159</v>
      </c>
      <c r="E51" s="12">
        <v>1646.164812</v>
      </c>
      <c r="F51" s="12">
        <v>49823</v>
      </c>
      <c r="G51" s="18">
        <v>7.8760000000000003</v>
      </c>
      <c r="H51" s="12">
        <v>47.539541952299999</v>
      </c>
      <c r="I51" s="9"/>
      <c r="J51" s="9"/>
      <c r="K51" s="9"/>
    </row>
    <row r="52" spans="1:11" x14ac:dyDescent="0.35">
      <c r="A52" s="8">
        <v>4149660</v>
      </c>
      <c r="B52" s="8"/>
      <c r="C52" s="8">
        <v>2019</v>
      </c>
      <c r="D52" s="10">
        <v>100568.19259999883</v>
      </c>
      <c r="E52" s="12">
        <v>1619.3294920000001</v>
      </c>
      <c r="F52" s="12">
        <v>45242</v>
      </c>
      <c r="G52" s="18">
        <v>4.8780000000000001</v>
      </c>
      <c r="H52" s="12">
        <v>59.638434558059998</v>
      </c>
      <c r="I52" s="9"/>
      <c r="J52" s="9"/>
      <c r="K52" s="9"/>
    </row>
    <row r="53" spans="1:11" x14ac:dyDescent="0.35">
      <c r="A53" s="8">
        <v>4149660</v>
      </c>
      <c r="B53" s="8"/>
      <c r="C53" s="8">
        <v>2020</v>
      </c>
      <c r="D53" s="10">
        <v>125572.62121186397</v>
      </c>
      <c r="E53" s="12">
        <v>1616.97703</v>
      </c>
      <c r="F53" s="12">
        <v>51903</v>
      </c>
      <c r="G53" s="18">
        <v>5.9980000000000002</v>
      </c>
      <c r="H53" s="12">
        <v>74.6818852209</v>
      </c>
      <c r="I53" s="9"/>
      <c r="J53" s="9"/>
      <c r="K53" s="9"/>
    </row>
    <row r="54" spans="1:11" x14ac:dyDescent="0.35">
      <c r="A54" s="8">
        <v>4149660</v>
      </c>
      <c r="B54" s="8"/>
      <c r="C54" s="8">
        <v>2021</v>
      </c>
      <c r="D54" s="10">
        <v>109617.35931611422</v>
      </c>
      <c r="E54" s="12">
        <v>1618.0553580000001</v>
      </c>
      <c r="F54" s="12">
        <v>56590</v>
      </c>
      <c r="G54" s="18">
        <v>12.962999999999999</v>
      </c>
      <c r="H54" s="12">
        <v>66.240589272400001</v>
      </c>
      <c r="I54" s="9"/>
      <c r="J54" s="9"/>
      <c r="K54" s="9"/>
    </row>
    <row r="55" spans="1:11" x14ac:dyDescent="0.35">
      <c r="A55" s="8">
        <v>4149660</v>
      </c>
      <c r="B55" s="8"/>
      <c r="C55" s="8">
        <v>2022</v>
      </c>
      <c r="D55" s="10">
        <v>116577.27242740235</v>
      </c>
      <c r="E55" s="12">
        <v>1619.6093209999999</v>
      </c>
      <c r="F55" s="12">
        <v>52741</v>
      </c>
      <c r="G55" s="18">
        <v>7.6040000000000001</v>
      </c>
      <c r="H55" s="12">
        <v>69.859630100779995</v>
      </c>
      <c r="I55" s="9"/>
      <c r="J55" s="9"/>
      <c r="K55" s="9"/>
    </row>
    <row r="56" spans="1:11" x14ac:dyDescent="0.35">
      <c r="A56" s="8">
        <v>4149660</v>
      </c>
      <c r="B56" s="8"/>
      <c r="C56" s="8">
        <v>2023</v>
      </c>
      <c r="D56" s="10">
        <v>127351.72440919068</v>
      </c>
      <c r="E56" s="12">
        <v>1621.4430629999999</v>
      </c>
      <c r="F56" s="12">
        <v>56341</v>
      </c>
      <c r="G56" s="18">
        <v>6.165</v>
      </c>
      <c r="H56" s="12">
        <v>74.412798705219998</v>
      </c>
      <c r="I56" s="9"/>
      <c r="J56" s="9"/>
      <c r="K56" s="9"/>
    </row>
    <row r="57" spans="1:11" x14ac:dyDescent="0.35">
      <c r="A57" s="8">
        <v>4149660</v>
      </c>
      <c r="B57" s="8"/>
      <c r="C57" s="8">
        <v>2024</v>
      </c>
      <c r="D57" s="10">
        <v>100991.79824682785</v>
      </c>
      <c r="E57" s="12">
        <v>1623.5560929999999</v>
      </c>
      <c r="F57" s="12">
        <v>57965</v>
      </c>
      <c r="G57" s="18">
        <v>7.0720000000000001</v>
      </c>
      <c r="H57" s="12">
        <v>59.128409909819993</v>
      </c>
      <c r="I57" s="9"/>
      <c r="J57" s="9"/>
      <c r="K57" s="9"/>
    </row>
    <row r="58" spans="1:11" x14ac:dyDescent="0.35">
      <c r="A58" s="8">
        <v>4149660</v>
      </c>
      <c r="B58" s="8"/>
      <c r="C58" s="8">
        <v>2025</v>
      </c>
      <c r="D58" s="10">
        <v>137489.29102643562</v>
      </c>
      <c r="E58" s="12">
        <v>1624.893368</v>
      </c>
      <c r="F58" s="12">
        <v>67024</v>
      </c>
      <c r="G58" s="18">
        <v>6.0839999999999996</v>
      </c>
      <c r="H58" s="12">
        <v>80.672947498799999</v>
      </c>
      <c r="I58" s="9"/>
      <c r="J58" s="9"/>
      <c r="K58" s="9"/>
    </row>
    <row r="59" spans="1:11" x14ac:dyDescent="0.35">
      <c r="A59" s="8">
        <v>4155293</v>
      </c>
      <c r="B59" s="8"/>
      <c r="C59" s="8">
        <v>2012</v>
      </c>
      <c r="D59" s="10">
        <v>3794.7951275465616</v>
      </c>
      <c r="E59" s="12">
        <v>432.727103</v>
      </c>
      <c r="F59" s="12">
        <v>3244.4381753100006</v>
      </c>
      <c r="G59" s="12">
        <v>-0.6994473577693644</v>
      </c>
      <c r="H59" s="12">
        <v>8.7233289759999995</v>
      </c>
      <c r="I59" s="9"/>
      <c r="J59" s="9"/>
      <c r="K59" s="9"/>
    </row>
    <row r="60" spans="1:11" x14ac:dyDescent="0.35">
      <c r="A60" s="8">
        <v>4155293</v>
      </c>
      <c r="B60" s="8"/>
      <c r="C60" s="8">
        <v>2013</v>
      </c>
      <c r="D60" s="10">
        <v>1069.0747275699441</v>
      </c>
      <c r="E60" s="12">
        <v>434.09158100000002</v>
      </c>
      <c r="F60" s="12">
        <v>2920.0609668560001</v>
      </c>
      <c r="G60" s="12">
        <v>-0.2827803212750406</v>
      </c>
      <c r="H60" s="12">
        <v>2.4703133287000001</v>
      </c>
      <c r="I60" s="9"/>
      <c r="J60" s="9"/>
      <c r="K60" s="9"/>
    </row>
    <row r="61" spans="1:11" x14ac:dyDescent="0.35">
      <c r="A61" s="8">
        <v>4155293</v>
      </c>
      <c r="B61" s="8"/>
      <c r="C61" s="8">
        <v>2014</v>
      </c>
      <c r="D61" s="10">
        <v>812.66542833543997</v>
      </c>
      <c r="E61" s="12">
        <v>435.12412599999999</v>
      </c>
      <c r="F61" s="12">
        <v>2202.201125132</v>
      </c>
      <c r="G61" s="12">
        <v>-0.91374382249208941</v>
      </c>
      <c r="H61" s="12">
        <v>1.87094707918</v>
      </c>
      <c r="I61" s="9"/>
      <c r="J61" s="9"/>
      <c r="K61" s="9"/>
    </row>
    <row r="62" spans="1:11" x14ac:dyDescent="0.35">
      <c r="A62" s="8">
        <v>4155293</v>
      </c>
      <c r="B62" s="8"/>
      <c r="C62" s="8">
        <v>2015</v>
      </c>
      <c r="D62" s="10">
        <v>439.57603062310358</v>
      </c>
      <c r="E62" s="12">
        <v>436.77422899999999</v>
      </c>
      <c r="F62" s="12">
        <v>1913.9961585150002</v>
      </c>
      <c r="G62" s="12">
        <v>0.14783854292952478</v>
      </c>
      <c r="H62" s="12">
        <v>1.0088337636</v>
      </c>
      <c r="I62" s="9"/>
      <c r="J62" s="9"/>
      <c r="K62" s="9"/>
    </row>
    <row r="63" spans="1:11" x14ac:dyDescent="0.35">
      <c r="A63" s="8">
        <v>4155293</v>
      </c>
      <c r="B63" s="8"/>
      <c r="C63" s="8">
        <v>2016</v>
      </c>
      <c r="D63" s="10">
        <v>1010.022184317703</v>
      </c>
      <c r="E63" s="12">
        <v>439.92835700000001</v>
      </c>
      <c r="F63" s="12">
        <v>2237.4572115809997</v>
      </c>
      <c r="G63" s="18">
        <v>5.817826606838461E-2</v>
      </c>
      <c r="H63" s="12">
        <v>2.29936188786</v>
      </c>
      <c r="I63" s="9"/>
      <c r="J63" s="9"/>
      <c r="K63" s="9"/>
    </row>
    <row r="64" spans="1:11" x14ac:dyDescent="0.35">
      <c r="A64" s="8">
        <v>4155293</v>
      </c>
      <c r="B64" s="8"/>
      <c r="C64" s="8">
        <v>2017</v>
      </c>
      <c r="D64" s="10">
        <v>815.44921479148331</v>
      </c>
      <c r="E64" s="12">
        <v>500.20436999999998</v>
      </c>
      <c r="F64" s="12">
        <v>1851.0388503319998</v>
      </c>
      <c r="G64" s="18">
        <v>-0.78278515157538719</v>
      </c>
      <c r="H64" s="12">
        <v>1.8337428125599999</v>
      </c>
      <c r="I64" s="9"/>
      <c r="J64" s="9"/>
      <c r="K64" s="9"/>
    </row>
    <row r="65" spans="1:11" x14ac:dyDescent="0.35">
      <c r="A65" s="8">
        <v>4155293</v>
      </c>
      <c r="B65" s="8"/>
      <c r="C65" s="8">
        <v>2018</v>
      </c>
      <c r="D65" s="10">
        <v>932.24869672941929</v>
      </c>
      <c r="E65" s="12">
        <v>539.793814</v>
      </c>
      <c r="F65" s="12">
        <v>1600.8891573000001</v>
      </c>
      <c r="G65" s="18">
        <v>-0.3511405800910618</v>
      </c>
      <c r="H65" s="12">
        <v>1.7515812887999997</v>
      </c>
      <c r="I65" s="9"/>
      <c r="J65" s="9"/>
      <c r="K65" s="9"/>
    </row>
    <row r="66" spans="1:11" x14ac:dyDescent="0.35">
      <c r="A66" s="8">
        <v>4155293</v>
      </c>
      <c r="B66" s="8"/>
      <c r="C66" s="8">
        <v>2019</v>
      </c>
      <c r="D66" s="10">
        <v>1981.2622024756683</v>
      </c>
      <c r="E66" s="12">
        <v>603.095325</v>
      </c>
      <c r="F66" s="12">
        <v>1347.3243643750002</v>
      </c>
      <c r="G66" s="18">
        <v>-0.10561191484760922</v>
      </c>
      <c r="H66" s="12">
        <v>3.6590508032000004</v>
      </c>
      <c r="I66" s="9"/>
      <c r="J66" s="9"/>
      <c r="K66" s="9"/>
    </row>
    <row r="67" spans="1:11" x14ac:dyDescent="0.35">
      <c r="A67" s="8">
        <v>4155293</v>
      </c>
      <c r="B67" s="8"/>
      <c r="C67" s="8">
        <v>2020</v>
      </c>
      <c r="D67" s="10">
        <v>3009.9252866257048</v>
      </c>
      <c r="E67" s="12">
        <v>616.00481600000001</v>
      </c>
      <c r="F67" s="12">
        <v>2187.0029793399999</v>
      </c>
      <c r="G67" s="18">
        <v>0.53824619294817588</v>
      </c>
      <c r="H67" s="12">
        <v>4.8860712804000004</v>
      </c>
      <c r="I67" s="9"/>
      <c r="J67" s="9"/>
      <c r="K67" s="9"/>
    </row>
    <row r="68" spans="1:11" x14ac:dyDescent="0.35">
      <c r="A68" s="8">
        <v>4155293</v>
      </c>
      <c r="B68" s="8"/>
      <c r="C68" s="8">
        <v>2021</v>
      </c>
      <c r="D68" s="10">
        <v>2572.5599619657123</v>
      </c>
      <c r="E68" s="12">
        <v>616.47832100000005</v>
      </c>
      <c r="F68" s="12">
        <v>1839.7341394950001</v>
      </c>
      <c r="G68" s="18">
        <v>-0.11318160791828512</v>
      </c>
      <c r="H68" s="12">
        <v>4.1728800095999992</v>
      </c>
      <c r="I68" s="9"/>
      <c r="J68" s="9"/>
      <c r="K68" s="9"/>
    </row>
    <row r="69" spans="1:11" x14ac:dyDescent="0.35">
      <c r="A69" s="8">
        <v>4155293</v>
      </c>
      <c r="B69" s="8"/>
      <c r="C69" s="8">
        <v>2022</v>
      </c>
      <c r="D69" s="10">
        <v>2137.4870991020289</v>
      </c>
      <c r="E69" s="12">
        <v>618.02459099999999</v>
      </c>
      <c r="F69" s="12">
        <v>1851.8223465599999</v>
      </c>
      <c r="G69" s="18">
        <v>0.4380463417761728</v>
      </c>
      <c r="H69" s="12">
        <v>3.4585793675999996</v>
      </c>
      <c r="I69" s="9"/>
      <c r="J69" s="9"/>
      <c r="K69" s="9"/>
    </row>
    <row r="70" spans="1:11" x14ac:dyDescent="0.35">
      <c r="A70" s="8">
        <v>4155293</v>
      </c>
      <c r="B70" s="8"/>
      <c r="C70" s="8">
        <v>2023</v>
      </c>
      <c r="D70" s="10">
        <v>4052.7638458314882</v>
      </c>
      <c r="E70" s="12">
        <v>619.93550700000003</v>
      </c>
      <c r="F70" s="12">
        <v>2243.1539521879999</v>
      </c>
      <c r="G70" s="18">
        <v>0.72926142454682341</v>
      </c>
      <c r="H70" s="12">
        <v>6.5380094571800003</v>
      </c>
      <c r="I70" s="9"/>
      <c r="J70" s="9"/>
      <c r="K70" s="9"/>
    </row>
    <row r="71" spans="1:11" x14ac:dyDescent="0.35">
      <c r="A71" s="8">
        <v>4155293</v>
      </c>
      <c r="B71" s="8"/>
      <c r="C71" s="8">
        <v>2024</v>
      </c>
      <c r="D71" s="10">
        <v>4947.1915503345581</v>
      </c>
      <c r="E71" s="12">
        <v>622.55215999999996</v>
      </c>
      <c r="F71" s="12">
        <v>2659.2216098489998</v>
      </c>
      <c r="G71" s="18">
        <v>1.2600754933707428</v>
      </c>
      <c r="H71" s="12">
        <v>7.9801713153600007</v>
      </c>
      <c r="I71" s="9"/>
      <c r="J71" s="9"/>
      <c r="K71" s="9"/>
    </row>
    <row r="72" spans="1:11" x14ac:dyDescent="0.35">
      <c r="A72" s="8">
        <v>4155293</v>
      </c>
      <c r="B72" s="8"/>
      <c r="C72" s="8">
        <v>2025</v>
      </c>
      <c r="D72" s="10">
        <v>12674.237226045982</v>
      </c>
      <c r="E72" s="12">
        <v>624.97742800000003</v>
      </c>
      <c r="F72" s="12">
        <v>4596.7982746560001</v>
      </c>
      <c r="G72" s="18">
        <v>2.743967802082905</v>
      </c>
      <c r="H72" s="12">
        <v>20.358514579799998</v>
      </c>
      <c r="I72" s="9"/>
      <c r="J72" s="9"/>
      <c r="K72" s="9"/>
    </row>
    <row r="73" spans="1:11" x14ac:dyDescent="0.35">
      <c r="A73" s="8">
        <v>4188197</v>
      </c>
      <c r="B73" s="8"/>
      <c r="C73" s="8">
        <v>2012</v>
      </c>
      <c r="D73" s="10">
        <v>4813.0352027298659</v>
      </c>
      <c r="E73" s="12">
        <v>215.62497200000001</v>
      </c>
      <c r="F73" s="12">
        <v>2564.4305217420001</v>
      </c>
      <c r="G73" s="12">
        <v>0.85417427894961295</v>
      </c>
      <c r="H73" s="12">
        <v>22.385948277600001</v>
      </c>
      <c r="I73" s="9"/>
      <c r="J73" s="9"/>
      <c r="K73" s="9"/>
    </row>
    <row r="74" spans="1:11" x14ac:dyDescent="0.35">
      <c r="A74" s="8">
        <v>4188197</v>
      </c>
      <c r="B74" s="8"/>
      <c r="C74" s="8">
        <v>2013</v>
      </c>
      <c r="D74" s="10">
        <v>3901.9703517258808</v>
      </c>
      <c r="E74" s="12">
        <v>216.74781100000001</v>
      </c>
      <c r="F74" s="12">
        <v>2652.6254495320004</v>
      </c>
      <c r="G74" s="12">
        <v>1.456337943810748</v>
      </c>
      <c r="H74" s="12">
        <v>18.026610777000002</v>
      </c>
      <c r="I74" s="9"/>
      <c r="J74" s="9"/>
      <c r="K74" s="9"/>
    </row>
    <row r="75" spans="1:11" x14ac:dyDescent="0.35">
      <c r="A75" s="8">
        <v>4188197</v>
      </c>
      <c r="B75" s="8"/>
      <c r="C75" s="8">
        <v>2014</v>
      </c>
      <c r="D75" s="10">
        <v>2240.2072063284177</v>
      </c>
      <c r="E75" s="12">
        <v>217.491412</v>
      </c>
      <c r="F75" s="12">
        <v>2214.7131638199999</v>
      </c>
      <c r="G75" s="12">
        <v>4.1919671580663807E-2</v>
      </c>
      <c r="H75" s="12">
        <v>10.302762722000001</v>
      </c>
      <c r="I75" s="9"/>
      <c r="J75" s="9"/>
      <c r="K75" s="9"/>
    </row>
    <row r="76" spans="1:11" x14ac:dyDescent="0.35">
      <c r="A76" s="8">
        <v>4188197</v>
      </c>
      <c r="B76" s="8"/>
      <c r="C76" s="8">
        <v>2015</v>
      </c>
      <c r="D76" s="10">
        <v>612.11013818220442</v>
      </c>
      <c r="E76" s="12">
        <v>189.40711899999999</v>
      </c>
      <c r="F76" s="12">
        <v>1669.6099780850002</v>
      </c>
      <c r="G76" s="12">
        <v>0.38590718248270317</v>
      </c>
      <c r="H76" s="12">
        <v>2.8098607069499999</v>
      </c>
      <c r="I76" s="9"/>
      <c r="J76" s="9"/>
      <c r="K76" s="9"/>
    </row>
    <row r="77" spans="1:11" x14ac:dyDescent="0.35">
      <c r="A77" s="8">
        <v>4188197</v>
      </c>
      <c r="B77" s="8"/>
      <c r="C77" s="8">
        <v>2016</v>
      </c>
      <c r="D77" s="10">
        <v>1565.7358095346733</v>
      </c>
      <c r="E77" s="12">
        <v>190.087717</v>
      </c>
      <c r="F77" s="12">
        <v>1836.3480716399997</v>
      </c>
      <c r="G77" s="18">
        <v>0.539805937064885</v>
      </c>
      <c r="H77" s="12">
        <v>7.1832269570000005</v>
      </c>
      <c r="I77" s="9"/>
      <c r="J77" s="9"/>
      <c r="K77" s="9"/>
    </row>
    <row r="78" spans="1:11" x14ac:dyDescent="0.35">
      <c r="A78" s="8">
        <v>4188197</v>
      </c>
      <c r="B78" s="8"/>
      <c r="C78" s="8">
        <v>2017</v>
      </c>
      <c r="D78" s="10">
        <v>2064.9088890402586</v>
      </c>
      <c r="E78" s="12">
        <v>191.09438700000001</v>
      </c>
      <c r="F78" s="12">
        <v>1996.6015934279999</v>
      </c>
      <c r="G78" s="18">
        <v>1.8877053949365583</v>
      </c>
      <c r="H78" s="12">
        <v>10.848904149759999</v>
      </c>
      <c r="I78" s="9"/>
      <c r="J78" s="9"/>
      <c r="K78" s="9"/>
    </row>
    <row r="79" spans="1:11" x14ac:dyDescent="0.35">
      <c r="A79" s="8">
        <v>4188197</v>
      </c>
      <c r="B79" s="8"/>
      <c r="C79" s="8">
        <v>2018</v>
      </c>
      <c r="D79" s="10">
        <v>1898.8891987023635</v>
      </c>
      <c r="E79" s="12">
        <v>193.393584</v>
      </c>
      <c r="F79" s="12">
        <v>2102.7332908500002</v>
      </c>
      <c r="G79" s="18">
        <v>1.2805307471675249</v>
      </c>
      <c r="H79" s="12">
        <v>9.8943490658999984</v>
      </c>
      <c r="I79" s="9"/>
      <c r="J79" s="9"/>
      <c r="K79" s="9"/>
    </row>
    <row r="80" spans="1:11" x14ac:dyDescent="0.35">
      <c r="A80" s="8">
        <v>4188197</v>
      </c>
      <c r="B80" s="8"/>
      <c r="C80" s="8">
        <v>2019</v>
      </c>
      <c r="D80" s="10">
        <v>2261.9504502321984</v>
      </c>
      <c r="E80" s="12">
        <v>194.711117</v>
      </c>
      <c r="F80" s="12">
        <v>1965.9696008600001</v>
      </c>
      <c r="G80" s="18">
        <v>1.2950339070642813</v>
      </c>
      <c r="H80" s="12">
        <v>11.69609871976</v>
      </c>
      <c r="I80" s="9"/>
      <c r="J80" s="9"/>
      <c r="K80" s="9"/>
    </row>
    <row r="81" spans="1:11" x14ac:dyDescent="0.35">
      <c r="A81" s="8">
        <v>4188197</v>
      </c>
      <c r="B81" s="8"/>
      <c r="C81" s="8">
        <v>2020</v>
      </c>
      <c r="D81" s="10">
        <v>3483.8491977639087</v>
      </c>
      <c r="E81" s="12">
        <v>195.83851799999999</v>
      </c>
      <c r="F81" s="12">
        <v>3067.1571225600001</v>
      </c>
      <c r="G81" s="18">
        <v>4.1748331983943974</v>
      </c>
      <c r="H81" s="12">
        <v>17.873057668290002</v>
      </c>
      <c r="I81" s="9"/>
      <c r="J81" s="9"/>
      <c r="K81" s="9"/>
    </row>
    <row r="82" spans="1:11" x14ac:dyDescent="0.35">
      <c r="A82" s="8">
        <v>4188197</v>
      </c>
      <c r="B82" s="8"/>
      <c r="C82" s="8">
        <v>2021</v>
      </c>
      <c r="D82" s="10">
        <v>2837.2469651096676</v>
      </c>
      <c r="E82" s="12">
        <v>195.958</v>
      </c>
      <c r="F82" s="12">
        <v>3076.486053305</v>
      </c>
      <c r="G82" s="18">
        <v>4.1706106452679714</v>
      </c>
      <c r="H82" s="12">
        <v>14.487287024319999</v>
      </c>
      <c r="I82" s="9"/>
      <c r="J82" s="9"/>
      <c r="K82" s="9"/>
    </row>
    <row r="83" spans="1:11" x14ac:dyDescent="0.35">
      <c r="A83" s="8">
        <v>4188197</v>
      </c>
      <c r="B83" s="8"/>
      <c r="C83" s="8">
        <v>2022</v>
      </c>
      <c r="D83" s="10">
        <v>3321.1346555857895</v>
      </c>
      <c r="E83" s="12">
        <v>196.05303799999999</v>
      </c>
      <c r="F83" s="12">
        <v>2874.6250273649998</v>
      </c>
      <c r="G83" s="18">
        <v>2.31820663755936</v>
      </c>
      <c r="H83" s="12">
        <v>16.939980576</v>
      </c>
      <c r="I83" s="9"/>
      <c r="J83" s="9"/>
      <c r="K83" s="9"/>
    </row>
    <row r="84" spans="1:11" x14ac:dyDescent="0.35">
      <c r="A84" s="8">
        <v>4188197</v>
      </c>
      <c r="B84" s="8"/>
      <c r="C84" s="8">
        <v>2023</v>
      </c>
      <c r="D84" s="10">
        <v>2143.6518380347352</v>
      </c>
      <c r="E84" s="12">
        <v>196.05303799999999</v>
      </c>
      <c r="F84" s="12">
        <v>3181.9600874440002</v>
      </c>
      <c r="G84" s="18">
        <v>0.85704256858398675</v>
      </c>
      <c r="H84" s="12">
        <v>10.934040400000001</v>
      </c>
      <c r="I84" s="9"/>
      <c r="J84" s="9"/>
      <c r="K84" s="9"/>
    </row>
    <row r="85" spans="1:11" x14ac:dyDescent="0.35">
      <c r="A85" s="8">
        <v>4188197</v>
      </c>
      <c r="B85" s="8"/>
      <c r="C85" s="8">
        <v>2024</v>
      </c>
      <c r="D85" s="10">
        <v>1561.5257093461041</v>
      </c>
      <c r="E85" s="12">
        <v>208.770366</v>
      </c>
      <c r="F85" s="12">
        <v>3385.8205892910005</v>
      </c>
      <c r="G85" s="18">
        <v>9.2523025737012585E-2</v>
      </c>
      <c r="H85" s="12">
        <v>7.9648126102799992</v>
      </c>
      <c r="I85" s="9"/>
      <c r="J85" s="9"/>
      <c r="K85" s="9"/>
    </row>
    <row r="86" spans="1:11" x14ac:dyDescent="0.35">
      <c r="A86" s="8">
        <v>4188197</v>
      </c>
      <c r="B86" s="8"/>
      <c r="C86" s="8">
        <v>2025</v>
      </c>
      <c r="D86" s="10">
        <v>2507.9376646914416</v>
      </c>
      <c r="E86" s="12">
        <v>192.813357</v>
      </c>
      <c r="F86" s="12">
        <v>3850.8918893700002</v>
      </c>
      <c r="G86" s="18">
        <v>1.2209234974293754</v>
      </c>
      <c r="H86" s="12">
        <v>12.0129006465</v>
      </c>
      <c r="I86" s="9"/>
      <c r="J86" s="9"/>
      <c r="K86" s="9"/>
    </row>
    <row r="87" spans="1:11" x14ac:dyDescent="0.35">
      <c r="A87" s="8">
        <v>4193273</v>
      </c>
      <c r="B87" s="8"/>
      <c r="C87" s="8">
        <v>2012</v>
      </c>
      <c r="D87" s="10">
        <v>39358.524648105384</v>
      </c>
      <c r="E87" s="12">
        <v>1122.9215429999999</v>
      </c>
      <c r="F87" s="12">
        <v>43738</v>
      </c>
      <c r="G87" s="12">
        <v>-1.331</v>
      </c>
      <c r="H87" s="12">
        <v>34.952932964281224</v>
      </c>
      <c r="I87" s="9"/>
      <c r="J87" s="9"/>
      <c r="K87" s="9"/>
    </row>
    <row r="88" spans="1:11" x14ac:dyDescent="0.35">
      <c r="A88" s="8">
        <v>4193273</v>
      </c>
      <c r="B88" s="8"/>
      <c r="C88" s="8">
        <v>2013</v>
      </c>
      <c r="D88" s="10">
        <v>27938.642226703538</v>
      </c>
      <c r="E88" s="12">
        <v>1125.981403</v>
      </c>
      <c r="F88" s="12">
        <v>37364</v>
      </c>
      <c r="G88" s="12">
        <v>-0.85199999999999998</v>
      </c>
      <c r="H88" s="12">
        <v>24.828127224873416</v>
      </c>
      <c r="I88" s="9"/>
      <c r="J88" s="9"/>
      <c r="K88" s="9"/>
    </row>
    <row r="89" spans="1:11" x14ac:dyDescent="0.35">
      <c r="A89" s="8">
        <v>4193273</v>
      </c>
      <c r="B89" s="8"/>
      <c r="C89" s="8">
        <v>2014</v>
      </c>
      <c r="D89" s="10">
        <v>23904.704856080996</v>
      </c>
      <c r="E89" s="12">
        <v>1127.344478</v>
      </c>
      <c r="F89" s="12">
        <v>32177</v>
      </c>
      <c r="G89" s="12">
        <v>-2.2250000000000001</v>
      </c>
      <c r="H89" s="12">
        <v>21.243165270279725</v>
      </c>
      <c r="I89" s="9"/>
      <c r="J89" s="9"/>
      <c r="K89" s="9"/>
    </row>
    <row r="90" spans="1:11" x14ac:dyDescent="0.35">
      <c r="A90" s="8">
        <v>4193273</v>
      </c>
      <c r="B90" s="8"/>
      <c r="C90" s="8">
        <v>2015</v>
      </c>
      <c r="D90" s="10">
        <v>5652.4485052163382</v>
      </c>
      <c r="E90" s="12">
        <v>1131.3267049999999</v>
      </c>
      <c r="F90" s="12">
        <v>21342</v>
      </c>
      <c r="G90" s="12">
        <v>-4.9539999999999997</v>
      </c>
      <c r="H90" s="12">
        <v>5.0140171065437249</v>
      </c>
      <c r="I90" s="9"/>
      <c r="J90" s="9"/>
      <c r="K90" s="9"/>
    </row>
    <row r="91" spans="1:11" x14ac:dyDescent="0.35">
      <c r="A91" s="8">
        <v>4193273</v>
      </c>
      <c r="B91" s="8"/>
      <c r="C91" s="8">
        <v>2016</v>
      </c>
      <c r="D91" s="10">
        <v>18397.509410703919</v>
      </c>
      <c r="E91" s="12">
        <v>1126.017505</v>
      </c>
      <c r="F91" s="12">
        <v>24325</v>
      </c>
      <c r="G91" s="18">
        <v>1.397</v>
      </c>
      <c r="H91" s="12">
        <v>16.261892533771874</v>
      </c>
      <c r="I91" s="9"/>
      <c r="J91" s="9"/>
      <c r="K91" s="9"/>
    </row>
    <row r="92" spans="1:11" x14ac:dyDescent="0.35">
      <c r="A92" s="8">
        <v>4193273</v>
      </c>
      <c r="B92" s="8"/>
      <c r="C92" s="8">
        <v>2017</v>
      </c>
      <c r="D92" s="10">
        <v>26776.160532082537</v>
      </c>
      <c r="E92" s="12">
        <v>1118.506627</v>
      </c>
      <c r="F92" s="12">
        <v>28882</v>
      </c>
      <c r="G92" s="18">
        <v>2.782</v>
      </c>
      <c r="H92" s="12">
        <v>23.779524219814451</v>
      </c>
      <c r="I92" s="9"/>
      <c r="J92" s="9"/>
      <c r="K92" s="9"/>
    </row>
    <row r="93" spans="1:11" x14ac:dyDescent="0.35">
      <c r="A93" s="8">
        <v>4193273</v>
      </c>
      <c r="B93" s="8"/>
      <c r="C93" s="8">
        <v>2018</v>
      </c>
      <c r="D93" s="10">
        <v>28296.363697253772</v>
      </c>
      <c r="E93" s="12">
        <v>1115.663677</v>
      </c>
      <c r="F93" s="12">
        <v>29832</v>
      </c>
      <c r="G93" s="18">
        <v>3.1110000000000002</v>
      </c>
      <c r="H93" s="12">
        <v>25.292581035107414</v>
      </c>
      <c r="I93" s="9"/>
      <c r="J93" s="9"/>
      <c r="K93" s="9"/>
    </row>
    <row r="94" spans="1:11" x14ac:dyDescent="0.35">
      <c r="A94" s="8">
        <v>4193273</v>
      </c>
      <c r="B94" s="8"/>
      <c r="C94" s="8">
        <v>2019</v>
      </c>
      <c r="D94" s="10">
        <v>35499.316861038751</v>
      </c>
      <c r="E94" s="12">
        <v>1094.1078199999999</v>
      </c>
      <c r="F94" s="12">
        <v>31385</v>
      </c>
      <c r="G94" s="18">
        <v>3.1339999999999999</v>
      </c>
      <c r="H94" s="12">
        <v>32.676783003983211</v>
      </c>
      <c r="I94" s="9"/>
      <c r="J94" s="9"/>
      <c r="K94" s="9"/>
    </row>
    <row r="95" spans="1:11" x14ac:dyDescent="0.35">
      <c r="A95" s="8">
        <v>4193273</v>
      </c>
      <c r="B95" s="8"/>
      <c r="C95" s="8">
        <v>2020</v>
      </c>
      <c r="D95" s="10">
        <v>40849.955967523623</v>
      </c>
      <c r="E95" s="12">
        <v>1091.015361</v>
      </c>
      <c r="F95" s="12">
        <v>32766</v>
      </c>
      <c r="G95" s="18">
        <v>1.8959999999999999</v>
      </c>
      <c r="H95" s="12">
        <v>37.584208953135366</v>
      </c>
      <c r="I95" s="9"/>
      <c r="J95" s="9"/>
      <c r="K95" s="9"/>
    </row>
    <row r="96" spans="1:11" x14ac:dyDescent="0.35">
      <c r="A96" s="8">
        <v>4193273</v>
      </c>
      <c r="B96" s="8"/>
      <c r="C96" s="8">
        <v>2021</v>
      </c>
      <c r="D96" s="10">
        <v>49712.160730045071</v>
      </c>
      <c r="E96" s="12">
        <v>1072.928586</v>
      </c>
      <c r="F96" s="12">
        <v>34770</v>
      </c>
      <c r="G96" s="18">
        <v>7.766</v>
      </c>
      <c r="H96" s="12">
        <v>46.368638618611485</v>
      </c>
      <c r="I96" s="9"/>
      <c r="J96" s="9"/>
      <c r="K96" s="9"/>
    </row>
    <row r="97" spans="1:11" x14ac:dyDescent="0.35">
      <c r="A97" s="8">
        <v>4193273</v>
      </c>
      <c r="B97" s="8"/>
      <c r="C97" s="8">
        <v>2022</v>
      </c>
      <c r="D97" s="10">
        <v>47347.157622327359</v>
      </c>
      <c r="E97" s="12">
        <v>1068.2949510000001</v>
      </c>
      <c r="F97" s="12">
        <v>33953</v>
      </c>
      <c r="G97" s="18">
        <v>4.1779999999999999</v>
      </c>
      <c r="H97" s="12">
        <v>44.277078138873215</v>
      </c>
      <c r="I97" s="9"/>
      <c r="J97" s="9"/>
      <c r="K97" s="9"/>
    </row>
    <row r="98" spans="1:11" x14ac:dyDescent="0.35">
      <c r="A98" s="8">
        <v>4193273</v>
      </c>
      <c r="B98" s="8"/>
      <c r="C98" s="8">
        <v>2023</v>
      </c>
      <c r="D98" s="10">
        <v>30445.967405531432</v>
      </c>
      <c r="E98" s="12">
        <v>1067.7421569999999</v>
      </c>
      <c r="F98" s="12">
        <v>31617</v>
      </c>
      <c r="G98" s="18">
        <v>0.26100000000000001</v>
      </c>
      <c r="H98" s="12">
        <v>28.49967010097086</v>
      </c>
      <c r="I98" s="9"/>
      <c r="J98" s="9"/>
      <c r="K98" s="9"/>
    </row>
    <row r="99" spans="1:11" x14ac:dyDescent="0.35">
      <c r="A99" s="8">
        <v>4193273</v>
      </c>
      <c r="B99" s="8"/>
      <c r="C99" s="8">
        <v>2024</v>
      </c>
      <c r="D99" s="10">
        <v>35910.9746891256</v>
      </c>
      <c r="E99" s="12">
        <v>1068.6763169999999</v>
      </c>
      <c r="F99" s="12">
        <v>28533</v>
      </c>
      <c r="G99" s="18">
        <v>-3.05</v>
      </c>
      <c r="H99" s="12">
        <v>33.603228702527332</v>
      </c>
      <c r="I99" s="9"/>
      <c r="J99" s="9"/>
      <c r="K99" s="9"/>
    </row>
    <row r="100" spans="1:11" x14ac:dyDescent="0.35">
      <c r="A100" s="8">
        <v>4193273</v>
      </c>
      <c r="B100" s="8"/>
      <c r="C100" s="8">
        <v>2025</v>
      </c>
      <c r="D100" s="10">
        <v>44372.361494999168</v>
      </c>
      <c r="E100" s="12">
        <v>1071.4879470000001</v>
      </c>
      <c r="F100" s="12">
        <v>24117</v>
      </c>
      <c r="G100" s="18">
        <v>-1.127</v>
      </c>
      <c r="H100" s="12">
        <v>41.520861367000002</v>
      </c>
      <c r="I100" s="9"/>
      <c r="J100" s="9"/>
      <c r="K100" s="9"/>
    </row>
    <row r="101" spans="1:11" x14ac:dyDescent="0.35">
      <c r="A101" s="8">
        <v>4264043</v>
      </c>
      <c r="B101" s="8"/>
      <c r="C101" s="8">
        <v>2012</v>
      </c>
      <c r="D101" s="10">
        <v>1713.4693577439907</v>
      </c>
      <c r="E101" s="12">
        <v>382.58609000000001</v>
      </c>
      <c r="F101" s="12">
        <v>1089.2645998515902</v>
      </c>
      <c r="G101" s="12">
        <v>0.14973573017443415</v>
      </c>
      <c r="H101" s="12">
        <v>4.4795473120000002</v>
      </c>
      <c r="I101" s="9"/>
      <c r="J101" s="9"/>
      <c r="K101" s="9"/>
    </row>
    <row r="102" spans="1:11" x14ac:dyDescent="0.35">
      <c r="A102" s="8">
        <v>4264043</v>
      </c>
      <c r="B102" s="8"/>
      <c r="C102" s="8">
        <v>2013</v>
      </c>
      <c r="D102" s="10">
        <v>1532.6067851387315</v>
      </c>
      <c r="E102" s="12">
        <v>397.58609000000001</v>
      </c>
      <c r="F102" s="12">
        <v>1071.6113899432962</v>
      </c>
      <c r="G102" s="12">
        <v>2.3147093146660895E-3</v>
      </c>
      <c r="H102" s="12">
        <v>4.0059135060000006</v>
      </c>
      <c r="I102" s="9"/>
      <c r="J102" s="9"/>
      <c r="K102" s="9"/>
    </row>
    <row r="103" spans="1:11" x14ac:dyDescent="0.35">
      <c r="A103" s="8">
        <v>4264043</v>
      </c>
      <c r="B103" s="8"/>
      <c r="C103" s="8">
        <v>2014</v>
      </c>
      <c r="D103" s="10">
        <v>1263.2926881423946</v>
      </c>
      <c r="E103" s="12">
        <v>349.87575900000002</v>
      </c>
      <c r="F103" s="12">
        <v>758.65964582269999</v>
      </c>
      <c r="G103" s="12">
        <v>-0.23130207095552074</v>
      </c>
      <c r="H103" s="12">
        <v>3.1774066546000004</v>
      </c>
      <c r="I103" s="9"/>
      <c r="J103" s="9"/>
      <c r="K103" s="9"/>
    </row>
    <row r="104" spans="1:11" x14ac:dyDescent="0.35">
      <c r="A104" s="8">
        <v>4264043</v>
      </c>
      <c r="B104" s="8"/>
      <c r="C104" s="8">
        <v>2015</v>
      </c>
      <c r="D104" s="10">
        <v>597.10162654257033</v>
      </c>
      <c r="E104" s="12">
        <v>349.87575900000002</v>
      </c>
      <c r="F104" s="12">
        <v>592.82898071544003</v>
      </c>
      <c r="G104" s="12">
        <v>-0.10084948491859133</v>
      </c>
      <c r="H104" s="12">
        <v>1.7066104500899999</v>
      </c>
      <c r="I104" s="9"/>
      <c r="J104" s="9"/>
      <c r="K104" s="9"/>
    </row>
    <row r="105" spans="1:11" x14ac:dyDescent="0.35">
      <c r="A105" s="8">
        <v>4264043</v>
      </c>
      <c r="B105" s="8"/>
      <c r="C105" s="8">
        <v>2016</v>
      </c>
      <c r="D105" s="10">
        <v>1033.3613993686317</v>
      </c>
      <c r="E105" s="12">
        <v>349.87575900000002</v>
      </c>
      <c r="F105" s="12">
        <v>618.12828144683101</v>
      </c>
      <c r="G105" s="18">
        <v>-0.13388365533205471</v>
      </c>
      <c r="H105" s="12">
        <v>2.9535095610000002</v>
      </c>
      <c r="I105" s="9"/>
      <c r="J105" s="9"/>
      <c r="K105" s="9"/>
    </row>
    <row r="106" spans="1:11" x14ac:dyDescent="0.35">
      <c r="A106" s="8">
        <v>4264043</v>
      </c>
      <c r="B106" s="8"/>
      <c r="C106" s="8">
        <v>2017</v>
      </c>
      <c r="D106" s="10">
        <v>1477.9858711867603</v>
      </c>
      <c r="E106" s="12">
        <v>349.87575900000002</v>
      </c>
      <c r="F106" s="12">
        <v>538.69000882245405</v>
      </c>
      <c r="G106" s="18">
        <v>-0.15724375240996963</v>
      </c>
      <c r="H106" s="12">
        <v>4.2243162984799998</v>
      </c>
      <c r="I106" s="9"/>
      <c r="J106" s="9"/>
      <c r="K106" s="9"/>
    </row>
    <row r="107" spans="1:11" x14ac:dyDescent="0.35">
      <c r="A107" s="8">
        <v>4264043</v>
      </c>
      <c r="B107" s="8"/>
      <c r="C107" s="8">
        <v>2018</v>
      </c>
      <c r="D107" s="10">
        <v>1052.0348464252852</v>
      </c>
      <c r="E107" s="12">
        <v>349.87575900000002</v>
      </c>
      <c r="F107" s="12">
        <v>527.8814127600001</v>
      </c>
      <c r="G107" s="18">
        <v>1.2135057218336874E-2</v>
      </c>
      <c r="H107" s="12">
        <v>3.0068812124399997</v>
      </c>
      <c r="I107" s="9"/>
      <c r="J107" s="9"/>
      <c r="K107" s="9"/>
    </row>
    <row r="108" spans="1:11" x14ac:dyDescent="0.35">
      <c r="A108" s="8">
        <v>4264043</v>
      </c>
      <c r="B108" s="8"/>
      <c r="C108" s="8">
        <v>2019</v>
      </c>
      <c r="D108" s="10">
        <v>3091.014705847655</v>
      </c>
      <c r="E108" s="12">
        <v>349.87575900000002</v>
      </c>
      <c r="F108" s="12">
        <v>556.23976570667503</v>
      </c>
      <c r="G108" s="18">
        <v>0.37653223543534831</v>
      </c>
      <c r="H108" s="12">
        <v>8.834606646320001</v>
      </c>
      <c r="I108" s="9"/>
      <c r="J108" s="9"/>
      <c r="K108" s="9"/>
    </row>
    <row r="109" spans="1:11" x14ac:dyDescent="0.35">
      <c r="A109" s="8">
        <v>4264043</v>
      </c>
      <c r="B109" s="8"/>
      <c r="C109" s="8">
        <v>2020</v>
      </c>
      <c r="D109" s="10">
        <v>5002.727445771573</v>
      </c>
      <c r="E109" s="12">
        <v>349.87575900000002</v>
      </c>
      <c r="F109" s="12">
        <v>1332.30471282439</v>
      </c>
      <c r="G109" s="18">
        <v>1.6463809307936021</v>
      </c>
      <c r="H109" s="12">
        <v>14.298582617070002</v>
      </c>
      <c r="I109" s="9"/>
      <c r="J109" s="9"/>
      <c r="K109" s="9"/>
    </row>
    <row r="110" spans="1:11" x14ac:dyDescent="0.35">
      <c r="A110" s="8">
        <v>4264043</v>
      </c>
      <c r="B110" s="8"/>
      <c r="C110" s="8">
        <v>2021</v>
      </c>
      <c r="D110" s="10">
        <v>4754.5947743191919</v>
      </c>
      <c r="E110" s="12">
        <v>390.23752300000001</v>
      </c>
      <c r="F110" s="12">
        <v>1816.3431205612701</v>
      </c>
      <c r="G110" s="18">
        <v>1.7206894566600219</v>
      </c>
      <c r="H110" s="12">
        <v>13.126401831999999</v>
      </c>
      <c r="I110" s="9"/>
      <c r="J110" s="9"/>
      <c r="K110" s="9"/>
    </row>
    <row r="111" spans="1:11" x14ac:dyDescent="0.35">
      <c r="A111" s="8">
        <v>4264043</v>
      </c>
      <c r="B111" s="8"/>
      <c r="C111" s="8">
        <v>2022</v>
      </c>
      <c r="D111" s="10">
        <v>4296.4413682104314</v>
      </c>
      <c r="E111" s="12">
        <v>390.23752300000001</v>
      </c>
      <c r="F111" s="12">
        <v>1670.2261064159279</v>
      </c>
      <c r="G111" s="18">
        <v>0.36898498158623566</v>
      </c>
      <c r="H111" s="12">
        <v>11.00981098686</v>
      </c>
      <c r="I111" s="9"/>
      <c r="J111" s="9"/>
      <c r="K111" s="9"/>
    </row>
    <row r="112" spans="1:11" x14ac:dyDescent="0.35">
      <c r="A112" s="8">
        <v>4264043</v>
      </c>
      <c r="B112" s="8"/>
      <c r="C112" s="8">
        <v>2023</v>
      </c>
      <c r="D112" s="10">
        <v>2995.984766065018</v>
      </c>
      <c r="E112" s="12">
        <v>389.85987399999999</v>
      </c>
      <c r="F112" s="12">
        <v>1843.1314407393882</v>
      </c>
      <c r="G112" s="18">
        <v>0.35324268562909544</v>
      </c>
      <c r="H112" s="12">
        <v>7.6773364668600008</v>
      </c>
      <c r="I112" s="9"/>
      <c r="J112" s="9"/>
      <c r="K112" s="9"/>
    </row>
    <row r="113" spans="1:11" x14ac:dyDescent="0.35">
      <c r="A113" s="8">
        <v>4264043</v>
      </c>
      <c r="B113" s="8"/>
      <c r="C113" s="8">
        <v>2024</v>
      </c>
      <c r="D113" s="10">
        <v>2011.2621682983097</v>
      </c>
      <c r="E113" s="12">
        <v>390.77045800000002</v>
      </c>
      <c r="F113" s="12">
        <v>1810.355259975885</v>
      </c>
      <c r="G113" s="18">
        <v>0.20784636853064614</v>
      </c>
      <c r="H113" s="12">
        <v>5.1589360753199998</v>
      </c>
      <c r="I113" s="9"/>
      <c r="J113" s="9"/>
      <c r="K113" s="9"/>
    </row>
    <row r="114" spans="1:11" x14ac:dyDescent="0.35">
      <c r="A114" s="8">
        <v>4264043</v>
      </c>
      <c r="B114" s="8"/>
      <c r="C114" s="8">
        <v>2025</v>
      </c>
      <c r="D114" s="10">
        <v>7937.6743162281155</v>
      </c>
      <c r="E114" s="12">
        <v>393.72456099999999</v>
      </c>
      <c r="F114" s="12">
        <v>2590.8247498583937</v>
      </c>
      <c r="G114" s="18">
        <v>2.0489122273454545</v>
      </c>
      <c r="H114" s="12">
        <v>20.36032648035</v>
      </c>
      <c r="I114" s="9"/>
      <c r="J114" s="9"/>
      <c r="K114" s="9"/>
    </row>
    <row r="115" spans="1:11" x14ac:dyDescent="0.35">
      <c r="A115" s="8">
        <v>4347817</v>
      </c>
      <c r="B115" s="8"/>
      <c r="C115" s="8">
        <v>2012</v>
      </c>
      <c r="D115" s="10">
        <v>29.25790894885294</v>
      </c>
      <c r="E115" s="12">
        <v>2.9465999999999999E-2</v>
      </c>
      <c r="F115" s="12">
        <v>35.666648000000002</v>
      </c>
      <c r="G115" s="12">
        <v>-162.16800000000001</v>
      </c>
      <c r="H115" s="12">
        <v>761.88503069769649</v>
      </c>
      <c r="I115" s="9"/>
      <c r="J115" s="9"/>
      <c r="K115" s="9"/>
    </row>
    <row r="116" spans="1:11" x14ac:dyDescent="0.35">
      <c r="A116" s="8">
        <v>4347817</v>
      </c>
      <c r="B116" s="8"/>
      <c r="C116" s="8">
        <v>2013</v>
      </c>
      <c r="D116" s="10">
        <v>23.58128525011886</v>
      </c>
      <c r="E116" s="12">
        <v>5.4227999999999998E-2</v>
      </c>
      <c r="F116" s="12">
        <v>43.902182000000003</v>
      </c>
      <c r="G116" s="12">
        <v>-302.62</v>
      </c>
      <c r="H116" s="12">
        <v>434.85441561774104</v>
      </c>
      <c r="I116" s="9"/>
      <c r="J116" s="9"/>
      <c r="K116" s="9"/>
    </row>
    <row r="117" spans="1:11" x14ac:dyDescent="0.35">
      <c r="A117" s="8">
        <v>4347817</v>
      </c>
      <c r="B117" s="8"/>
      <c r="C117" s="8">
        <v>2014</v>
      </c>
      <c r="D117" s="10">
        <v>9.0517899995528648</v>
      </c>
      <c r="E117" s="12">
        <v>5.4536000000000001E-2</v>
      </c>
      <c r="F117" s="12">
        <v>32.576000000000001</v>
      </c>
      <c r="G117" s="12">
        <v>-222.46</v>
      </c>
      <c r="H117" s="12">
        <v>165.97825288896993</v>
      </c>
      <c r="I117" s="9"/>
      <c r="J117" s="9"/>
      <c r="K117" s="9"/>
    </row>
    <row r="118" spans="1:11" x14ac:dyDescent="0.35">
      <c r="A118" s="8">
        <v>4347817</v>
      </c>
      <c r="B118" s="8"/>
      <c r="C118" s="8">
        <v>2015</v>
      </c>
      <c r="D118" s="10">
        <v>19.18424051818074</v>
      </c>
      <c r="E118" s="12">
        <v>8.8410000000000002E-2</v>
      </c>
      <c r="F118" s="12">
        <v>33.691000000000003</v>
      </c>
      <c r="G118" s="12">
        <v>-98.695999999999998</v>
      </c>
      <c r="H118" s="12">
        <v>176.96496091747528</v>
      </c>
      <c r="I118" s="9"/>
      <c r="J118" s="9"/>
      <c r="K118" s="9"/>
    </row>
    <row r="119" spans="1:11" x14ac:dyDescent="0.35">
      <c r="A119" s="8">
        <v>4347817</v>
      </c>
      <c r="B119" s="8"/>
      <c r="C119" s="8">
        <v>2016</v>
      </c>
      <c r="D119" s="10">
        <v>18.626154985125687</v>
      </c>
      <c r="E119" s="12">
        <v>0.136494</v>
      </c>
      <c r="F119" s="12">
        <v>27.98</v>
      </c>
      <c r="G119" s="18">
        <v>-69.902000000000001</v>
      </c>
      <c r="H119" s="12">
        <v>62.043132659564002</v>
      </c>
      <c r="I119" s="9"/>
      <c r="J119" s="9"/>
      <c r="K119" s="9"/>
    </row>
    <row r="120" spans="1:11" x14ac:dyDescent="0.35">
      <c r="A120" s="8">
        <v>4347817</v>
      </c>
      <c r="B120" s="8"/>
      <c r="C120" s="8">
        <v>2017</v>
      </c>
      <c r="D120" s="10">
        <v>36.056379929806575</v>
      </c>
      <c r="E120" s="12">
        <v>0.30872699999999997</v>
      </c>
      <c r="F120" s="12">
        <v>33.508000000000003</v>
      </c>
      <c r="G120" s="18">
        <v>-19.248999999999999</v>
      </c>
      <c r="H120" s="12">
        <v>106.44044059373684</v>
      </c>
      <c r="I120" s="9"/>
      <c r="J120" s="9"/>
      <c r="K120" s="9"/>
    </row>
    <row r="121" spans="1:11" x14ac:dyDescent="0.35">
      <c r="A121" s="8">
        <v>4347817</v>
      </c>
      <c r="B121" s="8"/>
      <c r="C121" s="8">
        <v>2018</v>
      </c>
      <c r="D121" s="10">
        <v>21.538091482960404</v>
      </c>
      <c r="E121" s="12">
        <v>0.33951900000000002</v>
      </c>
      <c r="F121" s="12">
        <v>17.614000000000001</v>
      </c>
      <c r="G121" s="18">
        <v>-60.972000000000001</v>
      </c>
      <c r="H121" s="12">
        <v>55.441528929091881</v>
      </c>
      <c r="I121" s="9"/>
      <c r="J121" s="9"/>
      <c r="K121" s="9"/>
    </row>
    <row r="122" spans="1:11" x14ac:dyDescent="0.35">
      <c r="A122" s="8">
        <v>4347817</v>
      </c>
      <c r="B122" s="8"/>
      <c r="C122" s="8">
        <v>2019</v>
      </c>
      <c r="D122" s="10">
        <v>33.229711986653378</v>
      </c>
      <c r="E122" s="12">
        <v>0.52751099999999995</v>
      </c>
      <c r="F122" s="12">
        <v>5.3020000000000005</v>
      </c>
      <c r="G122" s="18">
        <v>-60.972000000000001</v>
      </c>
      <c r="H122" s="12">
        <v>48.672248209603559</v>
      </c>
      <c r="I122" s="9"/>
      <c r="J122" s="9"/>
      <c r="K122" s="9"/>
    </row>
    <row r="123" spans="1:11" x14ac:dyDescent="0.35">
      <c r="A123" s="8">
        <v>4347817</v>
      </c>
      <c r="B123" s="8"/>
      <c r="C123" s="8">
        <v>2020</v>
      </c>
      <c r="D123" s="10">
        <v>37.230460544797438</v>
      </c>
      <c r="E123" s="12">
        <v>0.70978200000000002</v>
      </c>
      <c r="F123" s="12">
        <v>4.4950000000000001</v>
      </c>
      <c r="G123" s="18">
        <v>-12.504</v>
      </c>
      <c r="H123" s="12">
        <v>26.623327513504531</v>
      </c>
      <c r="I123" s="9"/>
      <c r="J123" s="9"/>
      <c r="K123" s="9"/>
    </row>
    <row r="124" spans="1:11" x14ac:dyDescent="0.35">
      <c r="A124" s="8">
        <v>4347817</v>
      </c>
      <c r="B124" s="8"/>
      <c r="C124" s="8">
        <v>2021</v>
      </c>
      <c r="D124" s="10">
        <v>6.896757706618458</v>
      </c>
      <c r="E124" s="12">
        <v>1.4189989999999999</v>
      </c>
      <c r="F124" s="12">
        <v>9.1180000000000003</v>
      </c>
      <c r="G124" s="18">
        <v>-7.3470000000000004</v>
      </c>
      <c r="H124" s="12">
        <v>3.4528502944405299</v>
      </c>
      <c r="I124" s="9"/>
      <c r="J124" s="9"/>
      <c r="K124" s="9"/>
    </row>
    <row r="125" spans="1:11" x14ac:dyDescent="0.35">
      <c r="A125" s="8">
        <v>4347817</v>
      </c>
      <c r="B125" s="8"/>
      <c r="C125" s="8">
        <v>2022</v>
      </c>
      <c r="D125" s="10">
        <v>4.2611384139715343</v>
      </c>
      <c r="E125" s="12">
        <v>3.2689859999999999</v>
      </c>
      <c r="F125" s="12">
        <v>2.129</v>
      </c>
      <c r="G125" s="18">
        <v>-8.5969999999999995</v>
      </c>
      <c r="H125" s="12">
        <v>0.28013615279063897</v>
      </c>
      <c r="I125" s="9"/>
      <c r="J125" s="9"/>
      <c r="K125" s="9"/>
    </row>
    <row r="126" spans="1:11" x14ac:dyDescent="0.35">
      <c r="A126" s="8">
        <v>4347817</v>
      </c>
      <c r="B126" s="8"/>
      <c r="C126" s="8">
        <v>2023</v>
      </c>
      <c r="D126" s="10">
        <v>6.2009126802319434</v>
      </c>
      <c r="E126" s="12">
        <v>19.517627999999998</v>
      </c>
      <c r="F126" s="12">
        <v>2.5430000000000001</v>
      </c>
      <c r="G126" s="18">
        <v>-0.84599999999999997</v>
      </c>
      <c r="H126" s="12">
        <v>0.21398965713245899</v>
      </c>
      <c r="I126" s="9"/>
      <c r="J126" s="9"/>
      <c r="K126" s="9"/>
    </row>
    <row r="127" spans="1:11" x14ac:dyDescent="0.35">
      <c r="A127" s="8">
        <v>4347817</v>
      </c>
      <c r="B127" s="8"/>
      <c r="C127" s="8">
        <v>2024</v>
      </c>
      <c r="D127" s="10">
        <v>3.1024913074389335</v>
      </c>
      <c r="E127" s="12">
        <v>37.144294000000002</v>
      </c>
      <c r="F127" s="12">
        <v>-5.4980000000000002</v>
      </c>
      <c r="G127" s="18">
        <v>-0.499</v>
      </c>
      <c r="H127" s="12">
        <v>2.9733214807500002E-2</v>
      </c>
      <c r="I127" s="9"/>
      <c r="J127" s="9"/>
      <c r="K127" s="9"/>
    </row>
    <row r="128" spans="1:11" x14ac:dyDescent="0.35">
      <c r="A128" s="8">
        <v>4347817</v>
      </c>
      <c r="B128" s="8"/>
      <c r="C128" s="8">
        <v>2025</v>
      </c>
      <c r="D128" s="10">
        <v>8.0714545345362136</v>
      </c>
      <c r="E128" s="12">
        <v>104.344294</v>
      </c>
      <c r="F128" s="12">
        <v>-9.822000000000001</v>
      </c>
      <c r="G128" s="18">
        <v>-0.08</v>
      </c>
      <c r="H128" s="12">
        <v>4.03768506E-2</v>
      </c>
      <c r="I128" s="9"/>
      <c r="J128" s="9"/>
      <c r="K128" s="9"/>
    </row>
    <row r="129" spans="1:11" x14ac:dyDescent="0.35">
      <c r="A129" s="8">
        <v>4347822</v>
      </c>
      <c r="B129" s="8"/>
      <c r="C129" s="8">
        <v>2022</v>
      </c>
      <c r="D129" s="10">
        <v>11.113871973614394</v>
      </c>
      <c r="E129" s="12">
        <v>102.198999</v>
      </c>
      <c r="F129" s="12">
        <v>3.4210025136905191</v>
      </c>
      <c r="G129" s="18">
        <v>-4.7243607829768795E-2</v>
      </c>
      <c r="H129" s="12">
        <v>0.10874736624</v>
      </c>
      <c r="I129" s="9"/>
      <c r="J129" s="9"/>
      <c r="K129" s="9"/>
    </row>
    <row r="130" spans="1:11" x14ac:dyDescent="0.35">
      <c r="A130" s="8">
        <v>4347822</v>
      </c>
      <c r="B130" s="8"/>
      <c r="C130" s="8">
        <v>2023</v>
      </c>
      <c r="D130" s="10">
        <v>13.231439372885475</v>
      </c>
      <c r="E130" s="12">
        <v>133.865666</v>
      </c>
      <c r="F130" s="12">
        <v>1.5909850025905501</v>
      </c>
      <c r="G130" s="18">
        <v>-3.9864356495077746E-2</v>
      </c>
      <c r="H130" s="12">
        <v>9.8841172409999997E-2</v>
      </c>
      <c r="I130" s="9"/>
      <c r="J130" s="9"/>
      <c r="K130" s="9"/>
    </row>
    <row r="131" spans="1:11" x14ac:dyDescent="0.35">
      <c r="A131" s="8">
        <v>4347822</v>
      </c>
      <c r="B131" s="8"/>
      <c r="C131" s="8">
        <v>2024</v>
      </c>
      <c r="D131" s="10">
        <v>24.087624857097474</v>
      </c>
      <c r="E131" s="12">
        <v>228.959959</v>
      </c>
      <c r="F131" s="12">
        <v>5.3250832321451522</v>
      </c>
      <c r="G131" s="18">
        <v>-3.1004187622629249E-2</v>
      </c>
      <c r="H131" s="12">
        <v>0.10520452992000001</v>
      </c>
      <c r="I131" s="9"/>
      <c r="J131" s="9"/>
      <c r="K131" s="9"/>
    </row>
    <row r="132" spans="1:11" x14ac:dyDescent="0.35">
      <c r="A132" s="8">
        <v>4347822</v>
      </c>
      <c r="B132" s="8"/>
      <c r="C132" s="8">
        <v>2025</v>
      </c>
      <c r="D132" s="10">
        <v>169.3906659671012</v>
      </c>
      <c r="E132" s="12">
        <v>634.876216</v>
      </c>
      <c r="F132" s="12">
        <v>78.500667027938405</v>
      </c>
      <c r="G132" s="18">
        <v>-4.514896393375685E-2</v>
      </c>
      <c r="H132" s="12">
        <v>0.26680896479999999</v>
      </c>
      <c r="I132" s="9"/>
      <c r="J132" s="9"/>
      <c r="K132" s="9"/>
    </row>
    <row r="133" spans="1:11" x14ac:dyDescent="0.35">
      <c r="A133" s="8">
        <v>4348055</v>
      </c>
      <c r="B133" s="8"/>
      <c r="C133" s="8">
        <v>2012</v>
      </c>
      <c r="D133" s="10">
        <v>13727.159794091527</v>
      </c>
      <c r="E133" s="12">
        <v>261</v>
      </c>
      <c r="F133" s="12">
        <v>5905.9294823999999</v>
      </c>
      <c r="G133" s="12">
        <v>-3.1222666568945332</v>
      </c>
      <c r="H133" s="12">
        <v>52.61464083592</v>
      </c>
      <c r="I133" s="9"/>
      <c r="J133" s="9"/>
      <c r="K133" s="9"/>
    </row>
    <row r="134" spans="1:11" x14ac:dyDescent="0.35">
      <c r="A134" s="8">
        <v>4348055</v>
      </c>
      <c r="B134" s="8"/>
      <c r="C134" s="8">
        <v>2013</v>
      </c>
      <c r="D134" s="10">
        <v>9805.9526325654297</v>
      </c>
      <c r="E134" s="12">
        <v>261</v>
      </c>
      <c r="F134" s="12">
        <v>4769.7076811440002</v>
      </c>
      <c r="G134" s="12">
        <v>-0.54586517710333604</v>
      </c>
      <c r="H134" s="12">
        <v>37.570699741630008</v>
      </c>
      <c r="I134" s="9"/>
      <c r="J134" s="9"/>
      <c r="K134" s="9"/>
    </row>
    <row r="135" spans="1:11" x14ac:dyDescent="0.35">
      <c r="A135" s="8">
        <v>4348055</v>
      </c>
      <c r="B135" s="8"/>
      <c r="C135" s="8">
        <v>2014</v>
      </c>
      <c r="D135" s="10">
        <v>7708.2257777241612</v>
      </c>
      <c r="E135" s="12">
        <v>261.20558</v>
      </c>
      <c r="F135" s="12">
        <v>4374.4318427880007</v>
      </c>
      <c r="G135" s="12">
        <v>0.21954356132786609</v>
      </c>
      <c r="H135" s="12">
        <v>29.533432098560002</v>
      </c>
      <c r="I135" s="9"/>
      <c r="J135" s="9"/>
      <c r="K135" s="9"/>
    </row>
    <row r="136" spans="1:11" x14ac:dyDescent="0.35">
      <c r="A136" s="8">
        <v>4348055</v>
      </c>
      <c r="B136" s="8"/>
      <c r="C136" s="8">
        <v>2015</v>
      </c>
      <c r="D136" s="10">
        <v>3130.7372414493952</v>
      </c>
      <c r="E136" s="12">
        <v>261.69067799999999</v>
      </c>
      <c r="F136" s="12">
        <v>2537.8636037639999</v>
      </c>
      <c r="G136" s="12">
        <v>-3.7248841042633485</v>
      </c>
      <c r="H136" s="12">
        <v>11.985721137539999</v>
      </c>
      <c r="I136" s="9"/>
      <c r="J136" s="9"/>
      <c r="K136" s="9"/>
    </row>
    <row r="137" spans="1:11" x14ac:dyDescent="0.35">
      <c r="A137" s="8">
        <v>4348055</v>
      </c>
      <c r="B137" s="8"/>
      <c r="C137" s="8">
        <v>2016</v>
      </c>
      <c r="D137" s="10">
        <v>5046.0260289963735</v>
      </c>
      <c r="E137" s="12">
        <v>261.98263400000002</v>
      </c>
      <c r="F137" s="12">
        <v>2901.1485766840001</v>
      </c>
      <c r="G137" s="18">
        <v>0.16388419861149245</v>
      </c>
      <c r="H137" s="12">
        <v>19.282406494420002</v>
      </c>
      <c r="I137" s="9"/>
      <c r="J137" s="9"/>
      <c r="K137" s="9"/>
    </row>
    <row r="138" spans="1:11" x14ac:dyDescent="0.35">
      <c r="A138" s="8">
        <v>4348055</v>
      </c>
      <c r="B138" s="8"/>
      <c r="C138" s="8">
        <v>2017</v>
      </c>
      <c r="D138" s="10">
        <v>7483.7057995184687</v>
      </c>
      <c r="E138" s="12">
        <v>262.229038</v>
      </c>
      <c r="F138" s="12">
        <v>3313.5870012239998</v>
      </c>
      <c r="G138" s="18">
        <v>0.55595798899330606</v>
      </c>
      <c r="H138" s="12">
        <v>28.565655995039997</v>
      </c>
      <c r="I138" s="9"/>
      <c r="J138" s="9"/>
      <c r="K138" s="9"/>
    </row>
    <row r="139" spans="1:11" x14ac:dyDescent="0.35">
      <c r="A139" s="8">
        <v>4348055</v>
      </c>
      <c r="B139" s="8"/>
      <c r="C139" s="8">
        <v>2018</v>
      </c>
      <c r="D139" s="10">
        <v>9804.7450074610915</v>
      </c>
      <c r="E139" s="12">
        <v>262.413205</v>
      </c>
      <c r="F139" s="12">
        <v>3296.5871970319999</v>
      </c>
      <c r="G139" s="18">
        <v>1.9924723912791626</v>
      </c>
      <c r="H139" s="12">
        <v>37.390004868419993</v>
      </c>
      <c r="I139" s="9"/>
      <c r="J139" s="9"/>
      <c r="K139" s="9"/>
    </row>
    <row r="140" spans="1:11" x14ac:dyDescent="0.35">
      <c r="A140" s="8">
        <v>4348055</v>
      </c>
      <c r="B140" s="8"/>
      <c r="C140" s="8">
        <v>2019</v>
      </c>
      <c r="D140" s="10">
        <v>24517.116529197057</v>
      </c>
      <c r="E140" s="12">
        <v>262.53740900000003</v>
      </c>
      <c r="F140" s="12">
        <v>4348.1243939120004</v>
      </c>
      <c r="G140" s="18">
        <v>4.8649790477754538</v>
      </c>
      <c r="H140" s="12">
        <v>93.429431377880007</v>
      </c>
      <c r="I140" s="9"/>
      <c r="J140" s="9"/>
      <c r="K140" s="9"/>
    </row>
    <row r="141" spans="1:11" x14ac:dyDescent="0.35">
      <c r="A141" s="8">
        <v>4348055</v>
      </c>
      <c r="B141" s="8"/>
      <c r="C141" s="8">
        <v>2020</v>
      </c>
      <c r="D141" s="10">
        <v>25372.790465786933</v>
      </c>
      <c r="E141" s="12">
        <v>262.70577600000001</v>
      </c>
      <c r="F141" s="12">
        <v>5359.2558929460001</v>
      </c>
      <c r="G141" s="18">
        <v>7.0434187920848021</v>
      </c>
      <c r="H141" s="12">
        <v>98.482315199850021</v>
      </c>
      <c r="I141" s="9"/>
      <c r="J141" s="9"/>
      <c r="K141" s="9"/>
    </row>
    <row r="142" spans="1:11" x14ac:dyDescent="0.35">
      <c r="A142" s="8">
        <v>4348055</v>
      </c>
      <c r="B142" s="8"/>
      <c r="C142" s="8">
        <v>2021</v>
      </c>
      <c r="D142" s="10">
        <v>29846.115836783199</v>
      </c>
      <c r="E142" s="12">
        <v>263.15650099999999</v>
      </c>
      <c r="F142" s="12">
        <v>6412.8268615999996</v>
      </c>
      <c r="G142" s="18">
        <v>20.302534938128012</v>
      </c>
      <c r="H142" s="12">
        <v>113.83127950511999</v>
      </c>
      <c r="I142" s="9"/>
      <c r="J142" s="9"/>
      <c r="K142" s="9"/>
    </row>
    <row r="143" spans="1:11" x14ac:dyDescent="0.35">
      <c r="A143" s="8">
        <v>4348055</v>
      </c>
      <c r="B143" s="8"/>
      <c r="C143" s="8">
        <v>2022</v>
      </c>
      <c r="D143" s="10">
        <v>22012.574626105023</v>
      </c>
      <c r="E143" s="12">
        <v>263.29641400000003</v>
      </c>
      <c r="F143" s="12">
        <v>5703.2444326740006</v>
      </c>
      <c r="G143" s="18">
        <v>11.441602058239189</v>
      </c>
      <c r="H143" s="12">
        <v>83.810553899760009</v>
      </c>
      <c r="I143" s="9"/>
      <c r="J143" s="9"/>
      <c r="K143" s="9"/>
    </row>
    <row r="144" spans="1:11" x14ac:dyDescent="0.35">
      <c r="A144" s="8">
        <v>4348055</v>
      </c>
      <c r="B144" s="8"/>
      <c r="C144" s="8">
        <v>2023</v>
      </c>
      <c r="D144" s="10">
        <v>13849.405513072237</v>
      </c>
      <c r="E144" s="12">
        <v>263.22271699999999</v>
      </c>
      <c r="F144" s="12">
        <v>5468.9336570699998</v>
      </c>
      <c r="G144" s="18">
        <v>2.6832162527051349</v>
      </c>
      <c r="H144" s="12">
        <v>52.702074727999999</v>
      </c>
      <c r="I144" s="9"/>
      <c r="J144" s="9"/>
      <c r="K144" s="9"/>
    </row>
    <row r="145" spans="1:11" x14ac:dyDescent="0.35">
      <c r="A145" s="8">
        <v>4348055</v>
      </c>
      <c r="B145" s="8"/>
      <c r="C145" s="8">
        <v>2024</v>
      </c>
      <c r="D145" s="10">
        <v>7916.1189555634946</v>
      </c>
      <c r="E145" s="12">
        <v>262.78986500000002</v>
      </c>
      <c r="F145" s="12">
        <v>5408.011902876</v>
      </c>
      <c r="G145" s="18">
        <v>1.4617364499500944</v>
      </c>
      <c r="H145" s="12">
        <v>30.132190535400003</v>
      </c>
      <c r="I145" s="9"/>
      <c r="J145" s="9"/>
      <c r="K145" s="9"/>
    </row>
    <row r="146" spans="1:11" x14ac:dyDescent="0.35">
      <c r="A146" s="8">
        <v>4348055</v>
      </c>
      <c r="B146" s="8"/>
      <c r="C146" s="8">
        <v>2025</v>
      </c>
      <c r="D146" s="10">
        <v>22353.374702432899</v>
      </c>
      <c r="E146" s="12">
        <v>262.56289400000003</v>
      </c>
      <c r="F146" s="12">
        <v>5975.8292039550006</v>
      </c>
      <c r="G146" s="18">
        <v>3.2730701369847806</v>
      </c>
      <c r="H146" s="12">
        <v>85.132751308599993</v>
      </c>
      <c r="I146" s="9"/>
      <c r="J146" s="9"/>
      <c r="K146" s="9"/>
    </row>
    <row r="147" spans="1:11" x14ac:dyDescent="0.35">
      <c r="A147" s="8">
        <v>4348248</v>
      </c>
      <c r="B147" s="8"/>
      <c r="C147" s="8">
        <v>2012</v>
      </c>
      <c r="D147" s="10">
        <v>157.68564823194998</v>
      </c>
      <c r="E147" s="12">
        <v>122.479784</v>
      </c>
      <c r="F147" s="12">
        <v>203.63479093790255</v>
      </c>
      <c r="G147" s="12">
        <v>-8.255840256613375E-3</v>
      </c>
      <c r="H147" s="12">
        <v>1.2874422462399999</v>
      </c>
      <c r="I147" s="9"/>
      <c r="J147" s="9"/>
      <c r="K147" s="9"/>
    </row>
    <row r="148" spans="1:11" x14ac:dyDescent="0.35">
      <c r="A148" s="8">
        <v>4348248</v>
      </c>
      <c r="B148" s="8"/>
      <c r="C148" s="8">
        <v>2013</v>
      </c>
      <c r="D148" s="10">
        <v>87.630306524745052</v>
      </c>
      <c r="E148" s="12">
        <v>122.479784</v>
      </c>
      <c r="F148" s="12">
        <v>180.02747656390503</v>
      </c>
      <c r="G148" s="12">
        <v>-4.6217504133519466E-2</v>
      </c>
      <c r="H148" s="12">
        <v>0.71546751360000005</v>
      </c>
      <c r="I148" s="9"/>
      <c r="J148" s="9"/>
      <c r="K148" s="9"/>
    </row>
    <row r="149" spans="1:11" x14ac:dyDescent="0.35">
      <c r="A149" s="8">
        <v>4348248</v>
      </c>
      <c r="B149" s="8"/>
      <c r="C149" s="8">
        <v>2014</v>
      </c>
      <c r="D149" s="10">
        <v>27.561835123718833</v>
      </c>
      <c r="E149" s="12">
        <v>122.479784</v>
      </c>
      <c r="F149" s="12">
        <v>91.278626821980367</v>
      </c>
      <c r="G149" s="12">
        <v>-5.693141786187797E-2</v>
      </c>
      <c r="H149" s="12">
        <v>0.2250317091</v>
      </c>
      <c r="I149" s="9"/>
      <c r="J149" s="9"/>
      <c r="K149" s="9"/>
    </row>
    <row r="150" spans="1:11" x14ac:dyDescent="0.35">
      <c r="A150" s="8">
        <v>4348248</v>
      </c>
      <c r="B150" s="8"/>
      <c r="C150" s="8">
        <v>2015</v>
      </c>
      <c r="D150" s="10">
        <v>16.947281040244619</v>
      </c>
      <c r="E150" s="12">
        <v>122.479784</v>
      </c>
      <c r="F150" s="12">
        <v>86.524339090455811</v>
      </c>
      <c r="G150" s="12">
        <v>5.4392308350286432E-2</v>
      </c>
      <c r="H150" s="12">
        <v>0.13836798602</v>
      </c>
      <c r="I150" s="9"/>
      <c r="J150" s="9"/>
      <c r="K150" s="9"/>
    </row>
    <row r="151" spans="1:11" x14ac:dyDescent="0.35">
      <c r="A151" s="8">
        <v>4348248</v>
      </c>
      <c r="B151" s="8"/>
      <c r="C151" s="8">
        <v>2016</v>
      </c>
      <c r="D151" s="10">
        <v>14.17077549716698</v>
      </c>
      <c r="E151" s="12">
        <v>122.479784</v>
      </c>
      <c r="F151" s="12">
        <v>78.760347134546748</v>
      </c>
      <c r="G151" s="18">
        <v>-2.6223716103116069E-2</v>
      </c>
      <c r="H151" s="12">
        <v>0.11569889359999999</v>
      </c>
      <c r="I151" s="9"/>
      <c r="J151" s="9"/>
      <c r="K151" s="9"/>
    </row>
    <row r="152" spans="1:11" x14ac:dyDescent="0.35">
      <c r="A152" s="8">
        <v>4348248</v>
      </c>
      <c r="B152" s="8"/>
      <c r="C152" s="8">
        <v>2017</v>
      </c>
      <c r="D152" s="10">
        <v>16.264305019880112</v>
      </c>
      <c r="E152" s="12">
        <v>122.479784</v>
      </c>
      <c r="F152" s="12">
        <v>78.780092809829611</v>
      </c>
      <c r="G152" s="18">
        <v>-1.5835987877942815E-2</v>
      </c>
      <c r="H152" s="12">
        <v>0.13279175133000001</v>
      </c>
      <c r="I152" s="9"/>
      <c r="J152" s="9"/>
      <c r="K152" s="9"/>
    </row>
    <row r="153" spans="1:11" x14ac:dyDescent="0.35">
      <c r="A153" s="8">
        <v>4348248</v>
      </c>
      <c r="B153" s="8"/>
      <c r="C153" s="8">
        <v>2018</v>
      </c>
      <c r="D153" s="10">
        <v>17.265264155333877</v>
      </c>
      <c r="E153" s="12">
        <v>122.479784</v>
      </c>
      <c r="F153" s="12">
        <v>73.822803952742063</v>
      </c>
      <c r="G153" s="18">
        <v>-2.9457005542760508E-2</v>
      </c>
      <c r="H153" s="12">
        <v>0.14096419499999999</v>
      </c>
      <c r="I153" s="9"/>
      <c r="J153" s="9"/>
      <c r="K153" s="9"/>
    </row>
    <row r="154" spans="1:11" x14ac:dyDescent="0.35">
      <c r="A154" s="8">
        <v>4348248</v>
      </c>
      <c r="B154" s="8"/>
      <c r="C154" s="8">
        <v>2019</v>
      </c>
      <c r="D154" s="10">
        <v>16.34859337256735</v>
      </c>
      <c r="E154" s="12">
        <v>122.479784</v>
      </c>
      <c r="F154" s="12">
        <v>70.3084987952533</v>
      </c>
      <c r="G154" s="18">
        <v>-1.1444347692739505E-2</v>
      </c>
      <c r="H154" s="12">
        <v>0.13348320914</v>
      </c>
      <c r="I154" s="9"/>
      <c r="J154" s="9"/>
      <c r="K154" s="9"/>
    </row>
    <row r="155" spans="1:11" x14ac:dyDescent="0.35">
      <c r="A155" s="8">
        <v>4348248</v>
      </c>
      <c r="B155" s="8"/>
      <c r="C155" s="8">
        <v>2020</v>
      </c>
      <c r="D155" s="10">
        <v>18.898284837281896</v>
      </c>
      <c r="E155" s="12">
        <v>122.479784</v>
      </c>
      <c r="F155" s="12">
        <v>64.70953052813141</v>
      </c>
      <c r="G155" s="18">
        <v>-3.4245060352340685E-2</v>
      </c>
      <c r="H155" s="12">
        <v>0.15429717640000001</v>
      </c>
      <c r="I155" s="9"/>
      <c r="J155" s="9"/>
      <c r="K155" s="9"/>
    </row>
    <row r="156" spans="1:11" x14ac:dyDescent="0.35">
      <c r="A156" s="8">
        <v>4348248</v>
      </c>
      <c r="B156" s="8"/>
      <c r="C156" s="8">
        <v>2021</v>
      </c>
      <c r="D156" s="10">
        <v>40.075549178255038</v>
      </c>
      <c r="E156" s="12">
        <v>122.479784</v>
      </c>
      <c r="F156" s="12">
        <v>69.331414769367669</v>
      </c>
      <c r="G156" s="18">
        <v>-1.7931587206069466E-2</v>
      </c>
      <c r="H156" s="12">
        <v>0.32720133779999999</v>
      </c>
      <c r="I156" s="9"/>
      <c r="J156" s="9"/>
      <c r="K156" s="9"/>
    </row>
    <row r="157" spans="1:11" x14ac:dyDescent="0.35">
      <c r="A157" s="8">
        <v>4348248</v>
      </c>
      <c r="B157" s="8"/>
      <c r="C157" s="8">
        <v>2022</v>
      </c>
      <c r="D157" s="10">
        <v>57.929276131846422</v>
      </c>
      <c r="E157" s="12">
        <v>122.479784</v>
      </c>
      <c r="F157" s="12">
        <v>58.910903287456193</v>
      </c>
      <c r="G157" s="18">
        <v>-5.3697001246582172E-2</v>
      </c>
      <c r="H157" s="12">
        <v>0.43498946496000002</v>
      </c>
      <c r="I157" s="9"/>
      <c r="J157" s="9"/>
      <c r="K157" s="9"/>
    </row>
    <row r="158" spans="1:11" x14ac:dyDescent="0.35">
      <c r="A158" s="8">
        <v>4348248</v>
      </c>
      <c r="B158" s="8"/>
      <c r="C158" s="8">
        <v>2023</v>
      </c>
      <c r="D158" s="10">
        <v>75.34619927620048</v>
      </c>
      <c r="E158" s="12">
        <v>146.54464300000001</v>
      </c>
      <c r="F158" s="12">
        <v>60.230484496277406</v>
      </c>
      <c r="G158" s="18">
        <v>-4.0387145680690351E-2</v>
      </c>
      <c r="H158" s="12">
        <v>0.48057259688999998</v>
      </c>
      <c r="I158" s="9"/>
      <c r="J158" s="9"/>
      <c r="K158" s="9"/>
    </row>
    <row r="159" spans="1:11" x14ac:dyDescent="0.35">
      <c r="A159" s="8">
        <v>4348248</v>
      </c>
      <c r="B159" s="8"/>
      <c r="C159" s="8">
        <v>2024</v>
      </c>
      <c r="D159" s="10">
        <v>74.821986018481127</v>
      </c>
      <c r="E159" s="12">
        <v>171.138777</v>
      </c>
      <c r="F159" s="12">
        <v>53.485807979053881</v>
      </c>
      <c r="G159" s="18">
        <v>-0.10949929115233273</v>
      </c>
      <c r="H159" s="12">
        <v>0.36821585472000001</v>
      </c>
      <c r="I159" s="9"/>
      <c r="J159" s="9"/>
      <c r="K159" s="9"/>
    </row>
    <row r="160" spans="1:11" x14ac:dyDescent="0.35">
      <c r="A160" s="8">
        <v>4348248</v>
      </c>
      <c r="B160" s="8"/>
      <c r="C160" s="8">
        <v>2025</v>
      </c>
      <c r="D160" s="10">
        <v>196.98679737245911</v>
      </c>
      <c r="E160" s="12">
        <v>209.178754</v>
      </c>
      <c r="F160" s="12">
        <v>79.962191735568638</v>
      </c>
      <c r="G160" s="18">
        <v>6.4779048750959786E-2</v>
      </c>
      <c r="H160" s="12">
        <v>0.46691568839999997</v>
      </c>
      <c r="I160" s="9"/>
      <c r="J160" s="9"/>
      <c r="K160" s="9"/>
    </row>
    <row r="161" spans="1:11" x14ac:dyDescent="0.35">
      <c r="A161" s="8">
        <v>4349189</v>
      </c>
      <c r="B161" s="8"/>
      <c r="C161" s="8">
        <v>2012</v>
      </c>
      <c r="D161" s="10">
        <v>4.831514374128159</v>
      </c>
      <c r="E161" s="12">
        <v>133.52000000000001</v>
      </c>
      <c r="F161" s="12">
        <v>0.17848812084100002</v>
      </c>
      <c r="G161" s="12">
        <v>-1.4319625400343722E-3</v>
      </c>
      <c r="H161" s="12">
        <v>2.3576564800000002E-2</v>
      </c>
      <c r="I161" s="9"/>
      <c r="J161" s="9"/>
      <c r="K161" s="9"/>
    </row>
    <row r="162" spans="1:11" x14ac:dyDescent="0.35">
      <c r="A162" s="8">
        <v>4349189</v>
      </c>
      <c r="B162" s="8"/>
      <c r="C162" s="8">
        <v>2013</v>
      </c>
      <c r="D162" s="10">
        <v>2.1500458021336715</v>
      </c>
      <c r="E162" s="12">
        <v>144.44200000000001</v>
      </c>
      <c r="F162" s="12">
        <v>0.16923850773900001</v>
      </c>
      <c r="G162" s="12">
        <v>-1.0990209684329622E-2</v>
      </c>
      <c r="H162" s="12">
        <v>1.0491678230000001E-2</v>
      </c>
      <c r="I162" s="9"/>
      <c r="J162" s="9"/>
      <c r="K162" s="9"/>
    </row>
    <row r="163" spans="1:11" x14ac:dyDescent="0.35">
      <c r="A163" s="8">
        <v>4349189</v>
      </c>
      <c r="B163" s="8"/>
      <c r="C163" s="8">
        <v>2014</v>
      </c>
      <c r="D163" s="10">
        <v>1.4193825854661883</v>
      </c>
      <c r="E163" s="12">
        <v>152</v>
      </c>
      <c r="F163" s="12">
        <v>-2.7951941940414997E-2</v>
      </c>
      <c r="G163" s="12">
        <v>-4.0522540511430004E-3</v>
      </c>
      <c r="H163" s="12">
        <v>6.9262270400000008E-3</v>
      </c>
      <c r="I163" s="9"/>
      <c r="J163" s="9"/>
      <c r="K163" s="9"/>
    </row>
    <row r="164" spans="1:11" x14ac:dyDescent="0.35">
      <c r="A164" s="8">
        <v>4349189</v>
      </c>
      <c r="B164" s="8"/>
      <c r="C164" s="8">
        <v>2015</v>
      </c>
      <c r="D164" s="10">
        <v>2.1335179845575487</v>
      </c>
      <c r="E164" s="12">
        <v>188.59420499999999</v>
      </c>
      <c r="F164" s="12">
        <v>3.8987130669928094</v>
      </c>
      <c r="G164" s="12">
        <v>7.0792121587774856E-3</v>
      </c>
      <c r="H164" s="12">
        <v>7.7602597199999991E-3</v>
      </c>
      <c r="I164" s="9"/>
      <c r="J164" s="9"/>
      <c r="K164" s="9"/>
    </row>
    <row r="165" spans="1:11" x14ac:dyDescent="0.35">
      <c r="A165" s="8">
        <v>4349189</v>
      </c>
      <c r="B165" s="8"/>
      <c r="C165" s="8">
        <v>2016</v>
      </c>
      <c r="D165" s="10">
        <v>7.2178177229656724</v>
      </c>
      <c r="E165" s="12">
        <v>184.92868300000001</v>
      </c>
      <c r="F165" s="12">
        <v>4.7944685262521469</v>
      </c>
      <c r="G165" s="18">
        <v>-1.1686729143463638E-3</v>
      </c>
      <c r="H165" s="12">
        <v>2.6253418319999999E-2</v>
      </c>
      <c r="I165" s="9"/>
      <c r="J165" s="9"/>
      <c r="K165" s="9"/>
    </row>
    <row r="166" spans="1:11" x14ac:dyDescent="0.35">
      <c r="A166" s="8">
        <v>4349189</v>
      </c>
      <c r="B166" s="8"/>
      <c r="C166" s="8">
        <v>2017</v>
      </c>
      <c r="D166" s="10">
        <v>14.212864724705398</v>
      </c>
      <c r="E166" s="12">
        <v>184.92868300000001</v>
      </c>
      <c r="F166" s="12">
        <v>5.6037129914113919</v>
      </c>
      <c r="G166" s="18">
        <v>-3.637604198169496E-3</v>
      </c>
      <c r="H166" s="12">
        <v>1.2122583599999999E-2</v>
      </c>
      <c r="I166" s="9"/>
      <c r="J166" s="9"/>
      <c r="K166" s="9"/>
    </row>
    <row r="167" spans="1:11" x14ac:dyDescent="0.35">
      <c r="A167" s="8">
        <v>4349189</v>
      </c>
      <c r="B167" s="8"/>
      <c r="C167" s="8">
        <v>2018</v>
      </c>
      <c r="D167" s="10">
        <v>16.013053580287579</v>
      </c>
      <c r="E167" s="12">
        <v>184.92868300000001</v>
      </c>
      <c r="F167" s="12">
        <v>5.5919955220857718</v>
      </c>
      <c r="G167" s="18">
        <v>3.8760635103449745E-3</v>
      </c>
      <c r="H167" s="12">
        <v>1.3658019300000001E-2</v>
      </c>
      <c r="I167" s="9"/>
      <c r="J167" s="9"/>
      <c r="K167" s="9"/>
    </row>
    <row r="168" spans="1:11" x14ac:dyDescent="0.35">
      <c r="A168" s="8">
        <v>4349189</v>
      </c>
      <c r="B168" s="8"/>
      <c r="C168" s="8">
        <v>2019</v>
      </c>
      <c r="D168" s="10">
        <v>16.013053580287579</v>
      </c>
      <c r="E168" s="12">
        <v>184.92868300000001</v>
      </c>
      <c r="F168" s="12">
        <v>23.140538654025217</v>
      </c>
      <c r="G168" s="18">
        <v>7.2459617315491928E-2</v>
      </c>
      <c r="H168" s="12">
        <v>1.3658019300000001E-2</v>
      </c>
      <c r="I168" s="9"/>
      <c r="J168" s="9"/>
      <c r="K168" s="9"/>
    </row>
    <row r="169" spans="1:11" x14ac:dyDescent="0.35">
      <c r="A169" s="8">
        <v>4349189</v>
      </c>
      <c r="B169" s="8"/>
      <c r="C169" s="8">
        <v>2020</v>
      </c>
      <c r="D169" s="10">
        <v>16.013053580287579</v>
      </c>
      <c r="E169" s="12">
        <v>204.92868300000001</v>
      </c>
      <c r="F169" s="12">
        <v>19.959884325194498</v>
      </c>
      <c r="G169" s="18">
        <v>-7.0603754416997547E-3</v>
      </c>
      <c r="H169" s="12">
        <v>1.3658019300000001E-2</v>
      </c>
      <c r="I169" s="9"/>
      <c r="J169" s="9"/>
      <c r="K169" s="9"/>
    </row>
    <row r="170" spans="1:11" x14ac:dyDescent="0.35">
      <c r="A170" s="8">
        <v>4349981</v>
      </c>
      <c r="B170" s="8"/>
      <c r="C170" s="8">
        <v>2021</v>
      </c>
      <c r="D170" s="10">
        <v>16.013053580287579</v>
      </c>
      <c r="E170" s="12">
        <v>204.92868300000001</v>
      </c>
      <c r="F170" s="12">
        <v>16.658274103616325</v>
      </c>
      <c r="G170" s="18">
        <v>3.0126811495392755E-4</v>
      </c>
      <c r="H170" s="12">
        <v>21.91246079658</v>
      </c>
      <c r="I170" s="9"/>
      <c r="J170" s="9"/>
      <c r="K170" s="9"/>
    </row>
    <row r="171" spans="1:11" x14ac:dyDescent="0.35">
      <c r="A171" s="8">
        <v>4349981</v>
      </c>
      <c r="B171" s="8"/>
      <c r="C171" s="8">
        <v>2022</v>
      </c>
      <c r="D171" s="10">
        <v>16.013053580287579</v>
      </c>
      <c r="E171" s="12">
        <v>204.92868300000001</v>
      </c>
      <c r="F171" s="12">
        <v>13.790340610769659</v>
      </c>
      <c r="G171" s="18">
        <v>-7.494407373909039E-3</v>
      </c>
      <c r="H171" s="12">
        <v>21.41242185222</v>
      </c>
      <c r="I171" s="9"/>
      <c r="J171" s="9"/>
      <c r="K171" s="9"/>
    </row>
    <row r="172" spans="1:11" x14ac:dyDescent="0.35">
      <c r="A172" s="8">
        <v>4349981</v>
      </c>
      <c r="B172" s="8"/>
      <c r="C172" s="8">
        <v>2023</v>
      </c>
      <c r="D172" s="10">
        <v>16.013053580287579</v>
      </c>
      <c r="E172" s="12">
        <v>274.92868299999998</v>
      </c>
      <c r="F172" s="12">
        <v>14.826765667116577</v>
      </c>
      <c r="G172" s="18">
        <v>-8.0906912842749149E-3</v>
      </c>
      <c r="H172" s="12">
        <v>22.542271497199998</v>
      </c>
      <c r="I172" s="9"/>
      <c r="J172" s="9"/>
      <c r="K172" s="9"/>
    </row>
    <row r="173" spans="1:11" x14ac:dyDescent="0.35">
      <c r="A173" s="8">
        <v>4349981</v>
      </c>
      <c r="B173" s="8"/>
      <c r="C173" s="8">
        <v>2024</v>
      </c>
      <c r="D173" s="10">
        <v>16.013053580287579</v>
      </c>
      <c r="E173" s="12">
        <v>274.92899999999997</v>
      </c>
      <c r="F173" s="12">
        <v>15.963173197319</v>
      </c>
      <c r="G173" s="18">
        <v>-5.1999342044904851E-3</v>
      </c>
      <c r="H173" s="12">
        <v>18.104862249450001</v>
      </c>
      <c r="I173" s="9"/>
      <c r="J173" s="9"/>
      <c r="K173" s="9"/>
    </row>
    <row r="174" spans="1:11" x14ac:dyDescent="0.35">
      <c r="A174" s="8">
        <v>4349981</v>
      </c>
      <c r="B174" s="8"/>
      <c r="C174" s="8">
        <v>2025</v>
      </c>
      <c r="D174" s="10">
        <v>16.013053580287579</v>
      </c>
      <c r="E174" s="12">
        <v>1172.4290000000001</v>
      </c>
      <c r="F174" s="12">
        <v>43.763144803618005</v>
      </c>
      <c r="G174" s="18">
        <v>-7.3556726127789341E-3</v>
      </c>
      <c r="H174" s="12">
        <v>51.549098540880003</v>
      </c>
      <c r="I174" s="9"/>
      <c r="J174" s="9"/>
      <c r="K174" s="9"/>
    </row>
    <row r="175" spans="1:11" x14ac:dyDescent="0.35">
      <c r="A175" s="8">
        <v>4350215</v>
      </c>
      <c r="B175" s="8"/>
      <c r="C175" s="8">
        <v>2012</v>
      </c>
      <c r="D175" s="10">
        <v>10414.812319277917</v>
      </c>
      <c r="E175" s="12">
        <v>471.64299999999997</v>
      </c>
      <c r="F175" s="12">
        <v>43.763144803618005</v>
      </c>
      <c r="G175" s="12">
        <v>3.72</v>
      </c>
      <c r="H175" s="12">
        <v>21.981439680269997</v>
      </c>
      <c r="I175" s="9"/>
      <c r="J175" s="9"/>
      <c r="K175" s="9"/>
    </row>
    <row r="176" spans="1:11" x14ac:dyDescent="0.35">
      <c r="A176" s="8">
        <v>4350215</v>
      </c>
      <c r="B176" s="8"/>
      <c r="C176" s="8">
        <v>2014</v>
      </c>
      <c r="D176" s="10">
        <v>8494.561755277904</v>
      </c>
      <c r="E176" s="12">
        <v>593.13599999999997</v>
      </c>
      <c r="F176" s="11">
        <v>9088.6</v>
      </c>
      <c r="G176" s="12">
        <v>1.39</v>
      </c>
      <c r="H176" s="12">
        <v>14.256478446600001</v>
      </c>
      <c r="I176" s="9"/>
      <c r="J176" s="9"/>
      <c r="K176" s="9"/>
    </row>
    <row r="177" spans="1:11" x14ac:dyDescent="0.35">
      <c r="A177" s="8">
        <v>4350215</v>
      </c>
      <c r="B177" s="8"/>
      <c r="C177" s="8">
        <v>2015</v>
      </c>
      <c r="D177" s="10">
        <v>2545.7840786000538</v>
      </c>
      <c r="E177" s="12">
        <v>593.13599999999997</v>
      </c>
      <c r="F177" s="11">
        <v>10088</v>
      </c>
      <c r="G177" s="12">
        <v>-0.77500000000000002</v>
      </c>
      <c r="H177" s="12">
        <v>3.7333871498</v>
      </c>
      <c r="I177" s="9"/>
      <c r="J177" s="9"/>
      <c r="K177" s="9"/>
    </row>
    <row r="178" spans="1:11" x14ac:dyDescent="0.35">
      <c r="A178" s="8">
        <v>4350215</v>
      </c>
      <c r="B178" s="8"/>
      <c r="C178" s="8">
        <v>2016</v>
      </c>
      <c r="D178" s="10">
        <v>6781.9610967088984</v>
      </c>
      <c r="E178" s="12">
        <v>681.89700000000005</v>
      </c>
      <c r="F178" s="11">
        <v>10633</v>
      </c>
      <c r="G178" s="18">
        <v>0.32</v>
      </c>
      <c r="H178" s="12">
        <v>9.9388037680500005</v>
      </c>
      <c r="I178" s="9"/>
      <c r="J178" s="9"/>
      <c r="K178" s="9"/>
    </row>
    <row r="179" spans="1:11" x14ac:dyDescent="0.35">
      <c r="A179" s="8">
        <v>4350215</v>
      </c>
      <c r="B179" s="8"/>
      <c r="C179" s="8">
        <v>2017</v>
      </c>
      <c r="D179" s="10">
        <v>9591.2817510008244</v>
      </c>
      <c r="E179" s="12">
        <v>683.024</v>
      </c>
      <c r="F179" s="11">
        <v>10285</v>
      </c>
      <c r="G179" s="18">
        <v>-0.46100000000000002</v>
      </c>
      <c r="H179" s="12">
        <v>14.042166364949999</v>
      </c>
      <c r="I179" s="9"/>
      <c r="J179" s="9"/>
      <c r="K179" s="9"/>
    </row>
    <row r="180" spans="1:11" x14ac:dyDescent="0.35">
      <c r="A180" s="8">
        <v>4350215</v>
      </c>
      <c r="B180" s="8"/>
      <c r="C180" s="8">
        <v>2018</v>
      </c>
      <c r="D180" s="10">
        <v>5534.1955544094053</v>
      </c>
      <c r="E180" s="12">
        <v>684.01800000000003</v>
      </c>
      <c r="F180" s="11">
        <v>10128</v>
      </c>
      <c r="G180" s="18">
        <v>0.64</v>
      </c>
      <c r="H180" s="12">
        <v>8.090638607999999</v>
      </c>
      <c r="I180" s="9"/>
      <c r="J180" s="9"/>
      <c r="K180" s="9"/>
    </row>
    <row r="181" spans="1:11" x14ac:dyDescent="0.35">
      <c r="A181" s="8">
        <v>4350215</v>
      </c>
      <c r="B181" s="8"/>
      <c r="C181" s="8">
        <v>2019</v>
      </c>
      <c r="D181" s="10">
        <v>6957.8925192587321</v>
      </c>
      <c r="E181" s="12">
        <v>685.23800000000006</v>
      </c>
      <c r="F181" s="11">
        <v>10722</v>
      </c>
      <c r="G181" s="18">
        <v>-8.3000000000000004E-2</v>
      </c>
      <c r="H181" s="12">
        <v>10.153928001059999</v>
      </c>
      <c r="I181" s="9"/>
      <c r="J181" s="9"/>
      <c r="K181" s="9"/>
    </row>
    <row r="182" spans="1:11" x14ac:dyDescent="0.35">
      <c r="A182" s="8">
        <v>4350215</v>
      </c>
      <c r="B182" s="8"/>
      <c r="C182" s="8">
        <v>2020</v>
      </c>
      <c r="D182" s="10">
        <v>12320.722763534513</v>
      </c>
      <c r="E182" s="12">
        <v>687.03900699999997</v>
      </c>
      <c r="F182" s="11">
        <v>10662</v>
      </c>
      <c r="G182" s="18">
        <v>-0.26100000000000001</v>
      </c>
      <c r="H182" s="12">
        <v>17.93282059605</v>
      </c>
      <c r="I182" s="9"/>
      <c r="J182" s="9"/>
      <c r="K182" s="9"/>
    </row>
    <row r="183" spans="1:11" x14ac:dyDescent="0.35">
      <c r="A183" s="8">
        <v>4350215</v>
      </c>
      <c r="B183" s="8"/>
      <c r="C183" s="8">
        <v>2021</v>
      </c>
      <c r="D183" s="10">
        <v>16477.032868678732</v>
      </c>
      <c r="E183" s="12">
        <v>688.12877300000002</v>
      </c>
      <c r="F183" s="11">
        <v>10035</v>
      </c>
      <c r="G183" s="18">
        <v>1.2</v>
      </c>
      <c r="H183" s="12">
        <v>23.919588471419999</v>
      </c>
      <c r="I183" s="9"/>
      <c r="J183" s="9"/>
      <c r="K183" s="9"/>
    </row>
    <row r="184" spans="1:11" x14ac:dyDescent="0.35">
      <c r="A184" s="8">
        <v>4350215</v>
      </c>
      <c r="B184" s="8"/>
      <c r="C184" s="8">
        <v>2022</v>
      </c>
      <c r="D184" s="10">
        <v>14370.623579684159</v>
      </c>
      <c r="E184" s="12">
        <v>686.10141499999997</v>
      </c>
      <c r="F184" s="11">
        <v>11494</v>
      </c>
      <c r="G184" s="18">
        <v>1.49</v>
      </c>
      <c r="H184" s="12">
        <v>20.902602284309999</v>
      </c>
      <c r="I184" s="9"/>
      <c r="J184" s="9"/>
      <c r="K184" s="9"/>
    </row>
    <row r="185" spans="1:11" x14ac:dyDescent="0.35">
      <c r="A185" s="8">
        <v>4350215</v>
      </c>
      <c r="B185" s="8"/>
      <c r="C185" s="8">
        <v>2023</v>
      </c>
      <c r="D185" s="10">
        <v>5647.0492035926427</v>
      </c>
      <c r="E185" s="12">
        <v>686.24804300000005</v>
      </c>
      <c r="F185" s="11">
        <v>12237</v>
      </c>
      <c r="G185" s="18">
        <v>-1.381</v>
      </c>
      <c r="H185" s="12">
        <v>8.2157758059999999</v>
      </c>
      <c r="I185" s="9"/>
      <c r="J185" s="9"/>
      <c r="K185" s="9"/>
    </row>
    <row r="186" spans="1:11" x14ac:dyDescent="0.35">
      <c r="A186" s="8">
        <v>4350215</v>
      </c>
      <c r="B186" s="8"/>
      <c r="C186" s="8">
        <v>2024</v>
      </c>
      <c r="D186" s="10">
        <v>10655.524456847636</v>
      </c>
      <c r="E186" s="12">
        <v>686.78617399999996</v>
      </c>
      <c r="F186" s="11">
        <v>10778</v>
      </c>
      <c r="G186" s="18">
        <v>2E-3</v>
      </c>
      <c r="H186" s="12">
        <v>12.87842984577</v>
      </c>
      <c r="I186" s="9"/>
      <c r="J186" s="9"/>
      <c r="K186" s="9"/>
    </row>
    <row r="187" spans="1:11" x14ac:dyDescent="0.35">
      <c r="A187" s="8">
        <v>4350215</v>
      </c>
      <c r="B187" s="8"/>
      <c r="C187" s="8">
        <v>2025</v>
      </c>
      <c r="D187" s="10">
        <v>22224.211594229517</v>
      </c>
      <c r="E187" s="12">
        <v>828.04513599999996</v>
      </c>
      <c r="F187" s="11">
        <v>11902</v>
      </c>
      <c r="G187" s="18">
        <v>-3.4000000000000002E-2</v>
      </c>
      <c r="H187" s="12">
        <v>26.839372188799999</v>
      </c>
      <c r="I187" s="9"/>
      <c r="J187" s="9"/>
      <c r="K187" s="9"/>
    </row>
    <row r="188" spans="1:11" s="16" customFormat="1" x14ac:dyDescent="0.35">
      <c r="A188" s="14">
        <v>4351190</v>
      </c>
      <c r="B188" s="14"/>
      <c r="C188" s="14">
        <v>2012</v>
      </c>
      <c r="D188" s="15">
        <v>11983.225951499699</v>
      </c>
      <c r="E188" s="12">
        <v>828.18613600000003</v>
      </c>
      <c r="F188" s="17">
        <v>11536</v>
      </c>
      <c r="G188" s="19">
        <v>0.18943838590250378</v>
      </c>
      <c r="H188" s="19">
        <v>19.768949584799998</v>
      </c>
      <c r="I188" s="14"/>
      <c r="J188" s="14"/>
      <c r="K188" s="14"/>
    </row>
    <row r="189" spans="1:11" x14ac:dyDescent="0.35">
      <c r="A189" s="8">
        <v>4351190</v>
      </c>
      <c r="B189" s="8"/>
      <c r="C189" s="8">
        <v>2013</v>
      </c>
      <c r="D189" s="10">
        <v>7120.02768592749</v>
      </c>
      <c r="E189" s="12">
        <v>607.04999999999995</v>
      </c>
      <c r="F189" s="11">
        <v>5500.488448944001</v>
      </c>
      <c r="G189" s="12">
        <v>9.6446221444420406E-4</v>
      </c>
      <c r="H189" s="12">
        <v>11.731603839</v>
      </c>
      <c r="I189" s="9"/>
      <c r="J189" s="9"/>
      <c r="K189" s="9"/>
    </row>
    <row r="190" spans="1:11" x14ac:dyDescent="0.35">
      <c r="A190" s="8">
        <v>4351190</v>
      </c>
      <c r="B190" s="8"/>
      <c r="C190" s="8">
        <v>2014</v>
      </c>
      <c r="D190" s="10">
        <v>3982.7752615576624</v>
      </c>
      <c r="E190" s="12">
        <v>607.08000000000004</v>
      </c>
      <c r="F190" s="11">
        <v>5165.9360903560009</v>
      </c>
      <c r="G190" s="12">
        <v>-0.52806534095558544</v>
      </c>
      <c r="H190" s="12">
        <v>6.5608685636400006</v>
      </c>
      <c r="I190" s="9"/>
      <c r="J190" s="9"/>
      <c r="K190" s="9"/>
    </row>
    <row r="191" spans="1:11" x14ac:dyDescent="0.35">
      <c r="A191" s="8">
        <v>4351190</v>
      </c>
      <c r="B191" s="8"/>
      <c r="C191" s="8">
        <v>2015</v>
      </c>
      <c r="D191" s="10">
        <v>1149.1292450535357</v>
      </c>
      <c r="E191" s="12">
        <v>709.68</v>
      </c>
      <c r="F191" s="11">
        <v>4310.2326959279999</v>
      </c>
      <c r="G191" s="12">
        <v>-7.1489999632587103E-3</v>
      </c>
      <c r="H191" s="12">
        <v>1.6193075282399998</v>
      </c>
      <c r="I191" s="9"/>
      <c r="J191" s="9"/>
      <c r="K191" s="9"/>
    </row>
    <row r="192" spans="1:11" x14ac:dyDescent="0.35">
      <c r="A192" s="8">
        <v>4351190</v>
      </c>
      <c r="B192" s="8"/>
      <c r="C192" s="8">
        <v>2016</v>
      </c>
      <c r="D192" s="10">
        <v>2211.9761598223586</v>
      </c>
      <c r="E192" s="12">
        <v>718.55</v>
      </c>
      <c r="F192" s="11">
        <v>3970.4943199600002</v>
      </c>
      <c r="G192" s="18">
        <v>-0.84321664111772621</v>
      </c>
      <c r="H192" s="12">
        <v>3.1168641638800003</v>
      </c>
      <c r="I192" s="9"/>
      <c r="J192" s="9"/>
      <c r="K192" s="9"/>
    </row>
    <row r="193" spans="1:11" x14ac:dyDescent="0.35">
      <c r="A193" s="8">
        <v>4351190</v>
      </c>
      <c r="B193" s="8"/>
      <c r="C193" s="8">
        <v>2017</v>
      </c>
      <c r="D193" s="10">
        <v>1883.815533413135</v>
      </c>
      <c r="E193" s="12">
        <v>718.55</v>
      </c>
      <c r="F193" s="11">
        <v>3760.6941873119995</v>
      </c>
      <c r="G193" s="18">
        <v>-1.1597799743508528</v>
      </c>
      <c r="H193" s="12">
        <v>2.6217107465599998</v>
      </c>
      <c r="I193" s="9"/>
      <c r="J193" s="9"/>
      <c r="K193" s="9"/>
    </row>
    <row r="194" spans="1:11" x14ac:dyDescent="0.35">
      <c r="A194" s="8">
        <v>4351190</v>
      </c>
      <c r="B194" s="8"/>
      <c r="C194" s="8">
        <v>2018</v>
      </c>
      <c r="D194" s="10">
        <v>1831.9460629162286</v>
      </c>
      <c r="E194" s="12">
        <v>718.54438400000004</v>
      </c>
      <c r="F194" s="11">
        <v>2887.4076590180002</v>
      </c>
      <c r="G194" s="18">
        <v>0.14322189623967357</v>
      </c>
      <c r="H194" s="12">
        <v>2.5495238759199998</v>
      </c>
      <c r="I194" s="9"/>
      <c r="J194" s="9"/>
      <c r="K194" s="9"/>
    </row>
    <row r="195" spans="1:11" x14ac:dyDescent="0.35">
      <c r="A195" s="8">
        <v>4351190</v>
      </c>
      <c r="B195" s="8"/>
      <c r="C195" s="8">
        <v>2019</v>
      </c>
      <c r="D195" s="10">
        <v>8029.0064348000642</v>
      </c>
      <c r="E195" s="12">
        <v>782.80015300000002</v>
      </c>
      <c r="F195" s="11">
        <v>2908.1333060000002</v>
      </c>
      <c r="G195" s="18">
        <v>1.2304432054837009</v>
      </c>
      <c r="H195" s="12">
        <v>10.256776782720001</v>
      </c>
      <c r="I195" s="9"/>
      <c r="J195" s="9"/>
      <c r="K195" s="9"/>
    </row>
    <row r="196" spans="1:11" x14ac:dyDescent="0.35">
      <c r="A196" s="8">
        <v>4351190</v>
      </c>
      <c r="B196" s="8"/>
      <c r="C196" s="8">
        <v>2020</v>
      </c>
      <c r="D196" s="10">
        <v>10547.549666534318</v>
      </c>
      <c r="E196" s="12">
        <v>813.98141599999997</v>
      </c>
      <c r="F196" s="11">
        <v>3720.4020715700003</v>
      </c>
      <c r="G196" s="18">
        <v>3.8864637228997378</v>
      </c>
      <c r="H196" s="12">
        <v>13.777902116100002</v>
      </c>
      <c r="I196" s="9"/>
      <c r="J196" s="9"/>
      <c r="K196" s="9"/>
    </row>
    <row r="197" spans="1:11" x14ac:dyDescent="0.35">
      <c r="A197" s="8">
        <v>4351190</v>
      </c>
      <c r="B197" s="8"/>
      <c r="C197" s="8">
        <v>2021</v>
      </c>
      <c r="D197" s="10">
        <v>11906.975569332551</v>
      </c>
      <c r="E197" s="12">
        <v>846.12762799999996</v>
      </c>
      <c r="F197" s="11">
        <v>6353.1967115600009</v>
      </c>
      <c r="G197" s="18">
        <v>2.5268452000361328</v>
      </c>
      <c r="H197" s="12">
        <v>14.0975676</v>
      </c>
      <c r="I197" s="9"/>
      <c r="J197" s="9"/>
      <c r="K197" s="9"/>
    </row>
    <row r="198" spans="1:11" x14ac:dyDescent="0.35">
      <c r="A198" s="8">
        <v>4351190</v>
      </c>
      <c r="B198" s="8"/>
      <c r="C198" s="8">
        <v>2022</v>
      </c>
      <c r="D198" s="10">
        <v>10639.169545270013</v>
      </c>
      <c r="E198" s="12">
        <v>863.04224099999999</v>
      </c>
      <c r="F198" s="11">
        <v>7287.0380593850005</v>
      </c>
      <c r="G198" s="18">
        <v>0.32416556823848053</v>
      </c>
      <c r="H198" s="12">
        <v>12.536762013779999</v>
      </c>
      <c r="I198" s="9"/>
      <c r="J198" s="9"/>
      <c r="K198" s="9"/>
    </row>
    <row r="199" spans="1:11" x14ac:dyDescent="0.35">
      <c r="A199" s="8">
        <v>4351190</v>
      </c>
      <c r="B199" s="8"/>
      <c r="C199" s="8">
        <v>2023</v>
      </c>
      <c r="D199" s="10">
        <v>4491.0596119683278</v>
      </c>
      <c r="E199" s="12">
        <v>899.747163</v>
      </c>
      <c r="F199" s="11">
        <v>6691.3540552949999</v>
      </c>
      <c r="G199" s="18">
        <v>-1.0314985823886995</v>
      </c>
      <c r="H199" s="12">
        <v>4.9897493365400001</v>
      </c>
      <c r="I199" s="9"/>
      <c r="J199" s="9"/>
      <c r="K199" s="9"/>
    </row>
    <row r="200" spans="1:11" x14ac:dyDescent="0.35">
      <c r="A200" s="8">
        <v>4351190</v>
      </c>
      <c r="B200" s="8"/>
      <c r="C200" s="8">
        <v>2024</v>
      </c>
      <c r="D200" s="10">
        <v>4181.4240641399783</v>
      </c>
      <c r="E200" s="12">
        <v>896.99454300000002</v>
      </c>
      <c r="F200" s="11">
        <v>5293.0413595</v>
      </c>
      <c r="G200" s="18">
        <v>4.6261512868506292E-2</v>
      </c>
      <c r="H200" s="12">
        <v>4.6473323129999997</v>
      </c>
      <c r="I200" s="9"/>
      <c r="J200" s="9"/>
      <c r="K200" s="9"/>
    </row>
    <row r="201" spans="1:11" x14ac:dyDescent="0.35">
      <c r="A201" s="8">
        <v>4351190</v>
      </c>
      <c r="B201" s="8"/>
      <c r="C201" s="8">
        <v>2025</v>
      </c>
      <c r="D201" s="10">
        <v>14194.004150652147</v>
      </c>
      <c r="E201" s="12">
        <v>897.56702299999995</v>
      </c>
      <c r="F201" s="11">
        <v>5441.0448301649994</v>
      </c>
      <c r="G201" s="18">
        <v>2.0366496769345916</v>
      </c>
      <c r="H201" s="12">
        <v>15.82393147</v>
      </c>
      <c r="I201" s="9"/>
      <c r="J201" s="9"/>
      <c r="K201" s="9"/>
    </row>
    <row r="202" spans="1:11" x14ac:dyDescent="0.35">
      <c r="A202" s="8">
        <v>4351368</v>
      </c>
      <c r="B202" s="8"/>
      <c r="C202" s="8">
        <v>2012</v>
      </c>
      <c r="D202" s="10">
        <v>2723.0542966262087</v>
      </c>
      <c r="E202" s="12">
        <v>528.64197899999999</v>
      </c>
      <c r="F202" s="11">
        <v>7325.3849389079996</v>
      </c>
      <c r="G202" s="12">
        <v>-0.38100000000000001</v>
      </c>
      <c r="H202" s="12">
        <v>5.0163029849999994</v>
      </c>
      <c r="I202" s="9"/>
      <c r="J202" s="9"/>
      <c r="K202" s="9"/>
    </row>
    <row r="203" spans="1:11" x14ac:dyDescent="0.35">
      <c r="A203" s="8">
        <v>4351368</v>
      </c>
      <c r="B203" s="8"/>
      <c r="C203" s="8">
        <v>2013</v>
      </c>
      <c r="D203" s="10">
        <v>1027.3869035021319</v>
      </c>
      <c r="E203" s="12">
        <v>584.42321200000004</v>
      </c>
      <c r="F203" s="11">
        <v>613.59900000000005</v>
      </c>
      <c r="G203" s="12">
        <v>-0.68100000000000005</v>
      </c>
      <c r="H203" s="12">
        <v>1.7602319368699999</v>
      </c>
      <c r="I203" s="9"/>
      <c r="J203" s="9"/>
      <c r="K203" s="9"/>
    </row>
    <row r="204" spans="1:11" x14ac:dyDescent="0.35">
      <c r="A204" s="8">
        <v>4351368</v>
      </c>
      <c r="B204" s="8"/>
      <c r="C204" s="8">
        <v>2014</v>
      </c>
      <c r="D204" s="10">
        <v>616.59410773855427</v>
      </c>
      <c r="E204" s="12">
        <v>702.14208499999995</v>
      </c>
      <c r="F204" s="11">
        <v>227.238</v>
      </c>
      <c r="G204" s="12">
        <v>-0.28599999999999998</v>
      </c>
      <c r="H204" s="12">
        <v>0.8807757732</v>
      </c>
      <c r="I204" s="9"/>
      <c r="J204" s="9"/>
      <c r="K204" s="9"/>
    </row>
    <row r="205" spans="1:11" x14ac:dyDescent="0.35">
      <c r="A205" s="8">
        <v>4351368</v>
      </c>
      <c r="B205" s="8"/>
      <c r="C205" s="8">
        <v>2015</v>
      </c>
      <c r="D205" s="10">
        <v>342.46654547014242</v>
      </c>
      <c r="E205" s="12">
        <v>778.95902799999999</v>
      </c>
      <c r="F205" s="11">
        <v>202.40299999999999</v>
      </c>
      <c r="G205" s="12">
        <v>0.92100000000000004</v>
      </c>
      <c r="H205" s="12">
        <v>0.43964597709999997</v>
      </c>
      <c r="I205" s="9"/>
      <c r="J205" s="9"/>
      <c r="K205" s="9"/>
    </row>
    <row r="206" spans="1:11" x14ac:dyDescent="0.35">
      <c r="A206" s="8">
        <v>4351368</v>
      </c>
      <c r="B206" s="8"/>
      <c r="C206" s="8">
        <v>2016</v>
      </c>
      <c r="D206" s="10">
        <v>1477.9612658399112</v>
      </c>
      <c r="E206" s="12">
        <v>781.58548499999995</v>
      </c>
      <c r="F206" s="11">
        <v>978.82400000000007</v>
      </c>
      <c r="G206" s="18">
        <v>-4.1000000000000002E-2</v>
      </c>
      <c r="H206" s="12">
        <v>1.8909783948200001</v>
      </c>
      <c r="I206" s="9"/>
      <c r="J206" s="9"/>
      <c r="K206" s="9"/>
    </row>
    <row r="207" spans="1:11" x14ac:dyDescent="0.35">
      <c r="A207" s="8">
        <v>4351368</v>
      </c>
      <c r="B207" s="8"/>
      <c r="C207" s="8">
        <v>2017</v>
      </c>
      <c r="D207" s="10">
        <v>2661.9129765277535</v>
      </c>
      <c r="E207" s="12">
        <v>790.38716799999997</v>
      </c>
      <c r="F207" s="11">
        <v>956.26200000000006</v>
      </c>
      <c r="G207" s="18">
        <v>0.21</v>
      </c>
      <c r="H207" s="12">
        <v>3.3809645308</v>
      </c>
      <c r="I207" s="9"/>
      <c r="J207" s="9"/>
      <c r="K207" s="9"/>
    </row>
    <row r="208" spans="1:11" x14ac:dyDescent="0.35">
      <c r="A208" s="8">
        <v>4351368</v>
      </c>
      <c r="B208" s="8"/>
      <c r="C208" s="8">
        <v>2018</v>
      </c>
      <c r="D208" s="10">
        <v>1755.2738285550361</v>
      </c>
      <c r="E208" s="12">
        <v>1015.080833</v>
      </c>
      <c r="F208" s="11">
        <v>1211.49</v>
      </c>
      <c r="G208" s="18">
        <v>0.03</v>
      </c>
      <c r="H208" s="12">
        <v>1.7368490490000001</v>
      </c>
      <c r="I208" s="9"/>
      <c r="J208" s="9"/>
      <c r="K208" s="9"/>
    </row>
    <row r="209" spans="1:11" x14ac:dyDescent="0.35">
      <c r="A209" s="8">
        <v>4351368</v>
      </c>
      <c r="B209" s="8"/>
      <c r="C209" s="8">
        <v>2019</v>
      </c>
      <c r="D209" s="10">
        <v>3912.5131090299601</v>
      </c>
      <c r="E209" s="12">
        <v>1196.1093989999999</v>
      </c>
      <c r="F209" s="11">
        <v>1818.808</v>
      </c>
      <c r="G209" s="18">
        <v>1.7999999999999999E-2</v>
      </c>
      <c r="H209" s="12">
        <v>3.2767041765</v>
      </c>
      <c r="I209" s="9"/>
      <c r="J209" s="9"/>
      <c r="K209" s="9"/>
    </row>
    <row r="210" spans="1:11" x14ac:dyDescent="0.35">
      <c r="A210" s="8">
        <v>4351368</v>
      </c>
      <c r="B210" s="8"/>
      <c r="C210" s="8">
        <v>2020</v>
      </c>
      <c r="D210" s="10">
        <v>6487.142758155218</v>
      </c>
      <c r="E210" s="12">
        <v>1205.8941179999999</v>
      </c>
      <c r="F210" s="11">
        <v>2362.8540000000003</v>
      </c>
      <c r="G210" s="18">
        <v>-0.02</v>
      </c>
      <c r="H210" s="12">
        <v>5.3837702095800006</v>
      </c>
      <c r="I210" s="9"/>
      <c r="J210" s="9"/>
      <c r="K210" s="9"/>
    </row>
    <row r="211" spans="1:11" x14ac:dyDescent="0.35">
      <c r="A211" s="8">
        <v>4351368</v>
      </c>
      <c r="B211" s="8"/>
      <c r="C211" s="8">
        <v>2021</v>
      </c>
      <c r="D211" s="10">
        <v>9864.1414604469264</v>
      </c>
      <c r="E211" s="12">
        <v>1209.665401</v>
      </c>
      <c r="F211" s="11">
        <v>2336.4830000000002</v>
      </c>
      <c r="G211" s="18">
        <v>4.5999999999999999E-2</v>
      </c>
      <c r="H211" s="12">
        <v>8.1549439387200007</v>
      </c>
      <c r="I211" s="9"/>
      <c r="J211" s="9"/>
      <c r="K211" s="9"/>
    </row>
    <row r="212" spans="1:11" x14ac:dyDescent="0.35">
      <c r="A212" s="8">
        <v>4351368</v>
      </c>
      <c r="B212" s="8"/>
      <c r="C212" s="8">
        <v>2022</v>
      </c>
      <c r="D212" s="10">
        <v>9473.5430310480988</v>
      </c>
      <c r="E212" s="12">
        <v>1216.7545789999999</v>
      </c>
      <c r="F212" s="11">
        <v>2376.9969999999998</v>
      </c>
      <c r="G212" s="18">
        <v>0.33</v>
      </c>
      <c r="H212" s="12">
        <v>7.9058976472999989</v>
      </c>
      <c r="I212" s="9"/>
      <c r="J212" s="9"/>
      <c r="K212" s="9"/>
    </row>
    <row r="213" spans="1:11" x14ac:dyDescent="0.35">
      <c r="A213" s="8">
        <v>4351368</v>
      </c>
      <c r="B213" s="8"/>
      <c r="C213" s="8">
        <v>2023</v>
      </c>
      <c r="D213" s="10">
        <v>12342.947466378133</v>
      </c>
      <c r="E213" s="12">
        <v>1268.762524</v>
      </c>
      <c r="F213" s="11">
        <v>2841.1309999999999</v>
      </c>
      <c r="G213" s="18">
        <v>0.26</v>
      </c>
      <c r="H213" s="12">
        <v>9.7302045259999996</v>
      </c>
      <c r="I213" s="9"/>
      <c r="J213" s="9"/>
      <c r="K213" s="9"/>
    </row>
    <row r="214" spans="1:11" x14ac:dyDescent="0.35">
      <c r="A214" s="8">
        <v>4351368</v>
      </c>
      <c r="B214" s="8"/>
      <c r="C214" s="8">
        <v>2024</v>
      </c>
      <c r="D214" s="10">
        <v>15832.389307153211</v>
      </c>
      <c r="E214" s="12">
        <v>1351.5443399999999</v>
      </c>
      <c r="F214" s="11">
        <v>3580.9459999999999</v>
      </c>
      <c r="G214" s="18">
        <v>0.17</v>
      </c>
      <c r="H214" s="12">
        <v>11.856773511539998</v>
      </c>
      <c r="I214" s="9"/>
      <c r="J214" s="9"/>
      <c r="K214" s="9"/>
    </row>
    <row r="215" spans="1:11" x14ac:dyDescent="0.35">
      <c r="A215" s="8">
        <v>4351368</v>
      </c>
      <c r="B215" s="8"/>
      <c r="C215" s="8">
        <v>2025</v>
      </c>
      <c r="D215" s="10">
        <v>16204.481491676579</v>
      </c>
      <c r="E215" s="12">
        <v>1424.5855160000001</v>
      </c>
      <c r="F215" s="11">
        <v>4835.6410000000005</v>
      </c>
      <c r="G215" s="18">
        <v>0.19</v>
      </c>
      <c r="H215" s="12">
        <v>11.38485325726</v>
      </c>
      <c r="I215" s="9"/>
      <c r="J215" s="9"/>
      <c r="K215" s="9"/>
    </row>
    <row r="216" spans="1:11" x14ac:dyDescent="0.35">
      <c r="A216" s="8">
        <v>4351564</v>
      </c>
      <c r="B216" s="8"/>
      <c r="C216" s="8">
        <v>2012</v>
      </c>
      <c r="D216" s="10">
        <v>1279.003359983064</v>
      </c>
      <c r="E216" s="12">
        <v>12.655694</v>
      </c>
      <c r="F216" s="11">
        <v>5725.0960000000005</v>
      </c>
      <c r="G216" s="12">
        <v>4</v>
      </c>
      <c r="H216" s="12">
        <v>101.09711502340001</v>
      </c>
      <c r="I216" s="9"/>
      <c r="J216" s="9"/>
      <c r="K216" s="9"/>
    </row>
    <row r="217" spans="1:11" x14ac:dyDescent="0.35">
      <c r="A217" s="8">
        <v>4351564</v>
      </c>
      <c r="B217" s="8"/>
      <c r="C217" s="8">
        <v>2013</v>
      </c>
      <c r="D217" s="10">
        <v>958.56261604037968</v>
      </c>
      <c r="E217" s="12">
        <v>13.909528</v>
      </c>
      <c r="F217" s="11">
        <v>605.59699999999998</v>
      </c>
      <c r="G217" s="12">
        <v>-3.42</v>
      </c>
      <c r="H217" s="12">
        <v>68.914105852800006</v>
      </c>
      <c r="I217" s="9"/>
      <c r="J217" s="9"/>
      <c r="K217" s="9"/>
    </row>
    <row r="218" spans="1:11" x14ac:dyDescent="0.35">
      <c r="A218" s="8">
        <v>4351564</v>
      </c>
      <c r="B218" s="8"/>
      <c r="C218" s="8">
        <v>2014</v>
      </c>
      <c r="D218" s="10">
        <v>140.47180695301265</v>
      </c>
      <c r="E218" s="12">
        <v>13.909528</v>
      </c>
      <c r="F218" s="11">
        <v>664.21199999999999</v>
      </c>
      <c r="G218" s="12">
        <v>-7.2460000000000004</v>
      </c>
      <c r="H218" s="12">
        <v>10.09896360624</v>
      </c>
      <c r="I218" s="9"/>
      <c r="J218" s="9"/>
      <c r="K218" s="9"/>
    </row>
    <row r="219" spans="1:11" x14ac:dyDescent="0.35">
      <c r="A219" s="8">
        <v>4351564</v>
      </c>
      <c r="B219" s="8"/>
      <c r="C219" s="8">
        <v>2015</v>
      </c>
      <c r="D219" s="10">
        <v>18.871501017256524</v>
      </c>
      <c r="E219" s="12">
        <v>13.909528</v>
      </c>
      <c r="F219" s="11">
        <v>564.76700000000005</v>
      </c>
      <c r="G219" s="12">
        <v>-4.3600000000000003</v>
      </c>
      <c r="H219" s="12">
        <v>1.3567320453999998</v>
      </c>
      <c r="I219" s="9"/>
      <c r="J219" s="9"/>
      <c r="K219" s="9"/>
    </row>
    <row r="220" spans="1:11" x14ac:dyDescent="0.35">
      <c r="A220" s="8">
        <v>4351564</v>
      </c>
      <c r="B220" s="8"/>
      <c r="C220" s="8">
        <v>2016</v>
      </c>
      <c r="D220" s="10">
        <v>339.66304453513339</v>
      </c>
      <c r="E220" s="12">
        <v>109.601551</v>
      </c>
      <c r="F220" s="11">
        <v>503.47399999999999</v>
      </c>
      <c r="G220" s="18">
        <v>-0.28000000000000003</v>
      </c>
      <c r="H220" s="12">
        <v>3.0990715134599998</v>
      </c>
      <c r="I220" s="9"/>
      <c r="J220" s="9"/>
      <c r="K220" s="9"/>
    </row>
    <row r="221" spans="1:11" x14ac:dyDescent="0.35">
      <c r="A221" s="8">
        <v>4351564</v>
      </c>
      <c r="B221" s="8"/>
      <c r="C221" s="8">
        <v>2017</v>
      </c>
      <c r="D221" s="10">
        <v>410.34844382912019</v>
      </c>
      <c r="E221" s="12">
        <v>109.601551</v>
      </c>
      <c r="F221" s="11">
        <v>775.76599999999996</v>
      </c>
      <c r="G221" s="18">
        <v>0.17699999999999999</v>
      </c>
      <c r="H221" s="12">
        <v>3.7440021613300001</v>
      </c>
      <c r="I221" s="9"/>
      <c r="J221" s="9"/>
      <c r="K221" s="9"/>
    </row>
    <row r="222" spans="1:11" x14ac:dyDescent="0.35">
      <c r="A222" s="8">
        <v>4351564</v>
      </c>
      <c r="B222" s="8"/>
      <c r="C222" s="8">
        <v>2018</v>
      </c>
      <c r="D222" s="10">
        <v>266.45716801371697</v>
      </c>
      <c r="E222" s="12">
        <v>109.601551</v>
      </c>
      <c r="F222" s="11">
        <v>796.14099999999996</v>
      </c>
      <c r="G222" s="18">
        <v>0.46</v>
      </c>
      <c r="H222" s="12">
        <v>2.4311441360325001</v>
      </c>
      <c r="I222" s="9"/>
      <c r="J222" s="9"/>
      <c r="K222" s="9"/>
    </row>
    <row r="223" spans="1:11" x14ac:dyDescent="0.35">
      <c r="A223" s="8">
        <v>4351564</v>
      </c>
      <c r="B223" s="8"/>
      <c r="C223" s="8">
        <v>2019</v>
      </c>
      <c r="D223" s="10">
        <v>342.74770263568701</v>
      </c>
      <c r="E223" s="12">
        <v>109.65748000000001</v>
      </c>
      <c r="F223" s="11">
        <v>848.43500000000006</v>
      </c>
      <c r="G223" s="18">
        <v>0.4</v>
      </c>
      <c r="H223" s="12">
        <v>3.1256208207199996</v>
      </c>
      <c r="I223" s="9"/>
      <c r="J223" s="9"/>
      <c r="K223" s="9"/>
    </row>
    <row r="224" spans="1:11" x14ac:dyDescent="0.35">
      <c r="A224" s="8">
        <v>4351564</v>
      </c>
      <c r="B224" s="8"/>
      <c r="C224" s="8">
        <v>2020</v>
      </c>
      <c r="D224" s="10">
        <v>468.94609214447934</v>
      </c>
      <c r="E224" s="12">
        <v>109.73638200000001</v>
      </c>
      <c r="F224" s="11">
        <v>891.82799999999997</v>
      </c>
      <c r="G224" s="18">
        <v>0.15</v>
      </c>
      <c r="H224" s="12">
        <v>4.2733875821099998</v>
      </c>
      <c r="I224" s="9"/>
      <c r="J224" s="9"/>
      <c r="K224" s="9"/>
    </row>
    <row r="225" spans="1:11" x14ac:dyDescent="0.35">
      <c r="A225" s="8">
        <v>4351564</v>
      </c>
      <c r="B225" s="8"/>
      <c r="C225" s="8">
        <v>2021</v>
      </c>
      <c r="D225" s="10">
        <v>596.37916468753929</v>
      </c>
      <c r="E225" s="12">
        <v>94.921970000000002</v>
      </c>
      <c r="F225" s="11">
        <v>900.50300000000004</v>
      </c>
      <c r="G225" s="18">
        <v>1.1599999999999999</v>
      </c>
      <c r="H225" s="12">
        <v>6.2828359407999992</v>
      </c>
      <c r="I225" s="9"/>
      <c r="J225" s="9"/>
      <c r="K225" s="9"/>
    </row>
    <row r="226" spans="1:11" x14ac:dyDescent="0.35">
      <c r="A226" s="8">
        <v>4351564</v>
      </c>
      <c r="B226" s="8"/>
      <c r="C226" s="8">
        <v>2022</v>
      </c>
      <c r="D226" s="10">
        <v>501.5155593293328</v>
      </c>
      <c r="E226" s="12">
        <v>94.829550999999995</v>
      </c>
      <c r="F226" s="11">
        <v>930.64300000000003</v>
      </c>
      <c r="G226" s="18">
        <v>2.12</v>
      </c>
      <c r="H226" s="12">
        <v>5.2834508104849993</v>
      </c>
      <c r="I226" s="9"/>
      <c r="J226" s="9"/>
      <c r="K226" s="9"/>
    </row>
    <row r="227" spans="1:11" x14ac:dyDescent="0.35">
      <c r="A227" s="8">
        <v>4351564</v>
      </c>
      <c r="B227" s="8"/>
      <c r="C227" s="8">
        <v>2023</v>
      </c>
      <c r="D227" s="10">
        <v>448.36844040117586</v>
      </c>
      <c r="E227" s="12">
        <v>89.228161</v>
      </c>
      <c r="F227" s="11">
        <v>1103.5340000000001</v>
      </c>
      <c r="G227" s="18">
        <v>1.37</v>
      </c>
      <c r="H227" s="12">
        <v>5.0249656092449992</v>
      </c>
      <c r="I227" s="9"/>
      <c r="J227" s="9"/>
      <c r="K227" s="9"/>
    </row>
    <row r="228" spans="1:11" x14ac:dyDescent="0.35">
      <c r="A228" s="8">
        <v>4351564</v>
      </c>
      <c r="B228" s="8"/>
      <c r="C228" s="8">
        <v>2024</v>
      </c>
      <c r="D228" s="10">
        <v>355.22810306079987</v>
      </c>
      <c r="E228" s="12">
        <v>89.228161</v>
      </c>
      <c r="F228" s="11">
        <v>1143.2909999999999</v>
      </c>
      <c r="G228" s="18">
        <v>0.71</v>
      </c>
      <c r="H228" s="12">
        <v>3.9811209721200003</v>
      </c>
      <c r="I228" s="9"/>
      <c r="J228" s="9"/>
      <c r="K228" s="9"/>
    </row>
    <row r="229" spans="1:11" x14ac:dyDescent="0.35">
      <c r="A229" s="8">
        <v>4351564</v>
      </c>
      <c r="B229" s="8"/>
      <c r="C229" s="8">
        <v>2025</v>
      </c>
      <c r="D229" s="10">
        <v>296.62659170813578</v>
      </c>
      <c r="E229" s="12">
        <v>89.228161</v>
      </c>
      <c r="F229" s="11">
        <v>1161.0840000000001</v>
      </c>
      <c r="G229" s="18">
        <v>-3.6429999999999998</v>
      </c>
      <c r="H229" s="12">
        <v>3.3243606994000001</v>
      </c>
      <c r="I229" s="9"/>
      <c r="J229" s="9"/>
      <c r="K229" s="9"/>
    </row>
    <row r="230" spans="1:11" x14ac:dyDescent="0.35">
      <c r="A230" s="8">
        <v>4351694</v>
      </c>
      <c r="B230" s="8"/>
      <c r="C230" s="8">
        <v>2012</v>
      </c>
      <c r="D230" s="10">
        <v>21549.250897499514</v>
      </c>
      <c r="E230" s="12">
        <v>320.99409300000002</v>
      </c>
      <c r="F230" s="11">
        <v>814.77300000000002</v>
      </c>
      <c r="G230" s="12">
        <v>4.7369207206159585</v>
      </c>
      <c r="H230" s="12">
        <v>67.061180917119998</v>
      </c>
      <c r="I230" s="9"/>
      <c r="J230" s="9"/>
      <c r="K230" s="9"/>
    </row>
    <row r="231" spans="1:11" x14ac:dyDescent="0.35">
      <c r="A231" s="8">
        <v>4351694</v>
      </c>
      <c r="B231" s="8"/>
      <c r="C231" s="8">
        <v>2013</v>
      </c>
      <c r="D231" s="10">
        <v>13585.845208204459</v>
      </c>
      <c r="E231" s="12">
        <v>320.64144800000003</v>
      </c>
      <c r="F231" s="11">
        <v>2318.0478511359997</v>
      </c>
      <c r="G231" s="12">
        <v>4.9938865630996627</v>
      </c>
      <c r="H231" s="12">
        <v>42.29577010085</v>
      </c>
      <c r="I231" s="9"/>
      <c r="J231" s="9"/>
      <c r="K231" s="9"/>
    </row>
    <row r="232" spans="1:11" x14ac:dyDescent="0.35">
      <c r="A232" s="8">
        <v>4351694</v>
      </c>
      <c r="B232" s="8"/>
      <c r="C232" s="8">
        <v>2014</v>
      </c>
      <c r="D232" s="10">
        <v>6663.244687001491</v>
      </c>
      <c r="E232" s="12">
        <v>320.55262800000003</v>
      </c>
      <c r="F232" s="11">
        <v>2592.7798273120002</v>
      </c>
      <c r="G232" s="12">
        <v>3.0791445702202398</v>
      </c>
      <c r="H232" s="12">
        <v>20.770023336200001</v>
      </c>
      <c r="I232" s="9"/>
      <c r="J232" s="9"/>
      <c r="K232" s="9"/>
    </row>
    <row r="233" spans="1:11" x14ac:dyDescent="0.35">
      <c r="A233" s="8">
        <v>4351694</v>
      </c>
      <c r="B233" s="8"/>
      <c r="C233" s="8">
        <v>2015</v>
      </c>
      <c r="D233" s="10">
        <v>854.91235838126136</v>
      </c>
      <c r="E233" s="12">
        <v>320.97624200000001</v>
      </c>
      <c r="F233" s="11">
        <v>2337.6882038379999</v>
      </c>
      <c r="G233" s="12">
        <v>0.1323562879687484</v>
      </c>
      <c r="H233" s="12">
        <v>2.6643558372</v>
      </c>
      <c r="I233" s="9"/>
      <c r="J233" s="9"/>
      <c r="K233" s="9"/>
    </row>
    <row r="234" spans="1:11" x14ac:dyDescent="0.35">
      <c r="A234" s="8">
        <v>4351694</v>
      </c>
      <c r="B234" s="8"/>
      <c r="C234" s="8">
        <v>2016</v>
      </c>
      <c r="D234" s="10">
        <v>3699.8530870100353</v>
      </c>
      <c r="E234" s="12">
        <v>319.28834699999999</v>
      </c>
      <c r="F234" s="11">
        <v>1627.520469777</v>
      </c>
      <c r="G234" s="18">
        <v>1.8320887703109758</v>
      </c>
      <c r="H234" s="12">
        <v>11.595259758000001</v>
      </c>
      <c r="I234" s="9"/>
      <c r="J234" s="9"/>
      <c r="K234" s="9"/>
    </row>
    <row r="235" spans="1:11" x14ac:dyDescent="0.35">
      <c r="A235" s="8">
        <v>4351694</v>
      </c>
      <c r="B235" s="8"/>
      <c r="C235" s="8">
        <v>2017</v>
      </c>
      <c r="D235" s="10">
        <v>9780.4959290280876</v>
      </c>
      <c r="E235" s="12">
        <v>319.45899700000001</v>
      </c>
      <c r="F235" s="11">
        <v>2664.4302548320002</v>
      </c>
      <c r="G235" s="18">
        <v>2.903921295688987</v>
      </c>
      <c r="H235" s="12">
        <v>30.640234135119996</v>
      </c>
      <c r="I235" s="9"/>
      <c r="J235" s="9"/>
      <c r="K235" s="9"/>
    </row>
    <row r="236" spans="1:11" x14ac:dyDescent="0.35">
      <c r="A236" s="8">
        <v>4351694</v>
      </c>
      <c r="B236" s="8"/>
      <c r="C236" s="8">
        <v>2018</v>
      </c>
      <c r="D236" s="10">
        <v>6290.7978384833141</v>
      </c>
      <c r="E236" s="12">
        <v>319.52080999999998</v>
      </c>
      <c r="F236" s="11">
        <v>3680.9012843039995</v>
      </c>
      <c r="G236" s="18">
        <v>2.2837441943216126</v>
      </c>
      <c r="H236" s="12">
        <v>19.674011261699999</v>
      </c>
      <c r="I236" s="9"/>
      <c r="J236" s="9"/>
      <c r="K236" s="9"/>
    </row>
    <row r="237" spans="1:11" x14ac:dyDescent="0.35">
      <c r="A237" s="8">
        <v>4351694</v>
      </c>
      <c r="B237" s="8"/>
      <c r="C237" s="8">
        <v>2019</v>
      </c>
      <c r="D237" s="10">
        <v>9562.8837789048048</v>
      </c>
      <c r="E237" s="12">
        <v>320.67403000000002</v>
      </c>
      <c r="F237" s="11">
        <v>3210.3287692779995</v>
      </c>
      <c r="G237" s="18">
        <v>3.5047805189642851</v>
      </c>
      <c r="H237" s="12">
        <v>29.804826903800002</v>
      </c>
      <c r="I237" s="9"/>
      <c r="J237" s="9"/>
      <c r="K237" s="9"/>
    </row>
    <row r="238" spans="1:11" x14ac:dyDescent="0.35">
      <c r="A238" s="8">
        <v>4351694</v>
      </c>
      <c r="B238" s="8"/>
      <c r="C238" s="8">
        <v>2020</v>
      </c>
      <c r="D238" s="10">
        <v>13635.044133856059</v>
      </c>
      <c r="E238" s="12">
        <v>320.59973600000001</v>
      </c>
      <c r="F238" s="11">
        <v>3396.342390064</v>
      </c>
      <c r="G238" s="18">
        <v>4.3285321320573242</v>
      </c>
      <c r="H238" s="12">
        <v>42.501313605390003</v>
      </c>
      <c r="I238" s="9"/>
      <c r="J238" s="9"/>
      <c r="K238" s="9"/>
    </row>
    <row r="239" spans="1:11" x14ac:dyDescent="0.35">
      <c r="A239" s="8">
        <v>4351694</v>
      </c>
      <c r="B239" s="8"/>
      <c r="C239" s="8">
        <v>2021</v>
      </c>
      <c r="D239" s="10">
        <v>9245.6556481792268</v>
      </c>
      <c r="E239" s="12">
        <v>320.88327399999997</v>
      </c>
      <c r="F239" s="11">
        <v>4243.9214096100004</v>
      </c>
      <c r="G239" s="18">
        <v>7.0011777306988678</v>
      </c>
      <c r="H239" s="12">
        <v>28.827332787039996</v>
      </c>
      <c r="I239" s="9"/>
      <c r="J239" s="9"/>
      <c r="K239" s="9"/>
    </row>
    <row r="240" spans="1:11" x14ac:dyDescent="0.35">
      <c r="A240" s="8">
        <v>4351694</v>
      </c>
      <c r="B240" s="8"/>
      <c r="C240" s="8">
        <v>2022</v>
      </c>
      <c r="D240" s="10">
        <v>9293.0928382836355</v>
      </c>
      <c r="E240" s="12">
        <v>320.91736200000003</v>
      </c>
      <c r="F240" s="11">
        <v>3662.736030048</v>
      </c>
      <c r="G240" s="18">
        <v>2.8553389446643349</v>
      </c>
      <c r="H240" s="12">
        <v>28.956779297099999</v>
      </c>
      <c r="I240" s="9"/>
      <c r="J240" s="9"/>
      <c r="K240" s="9"/>
    </row>
    <row r="241" spans="1:11" x14ac:dyDescent="0.35">
      <c r="A241" s="8">
        <v>4351694</v>
      </c>
      <c r="B241" s="8"/>
      <c r="C241" s="8">
        <v>2023</v>
      </c>
      <c r="D241" s="10">
        <v>10789.221552986357</v>
      </c>
      <c r="E241" s="12">
        <v>320.95164799999998</v>
      </c>
      <c r="F241" s="11">
        <v>3165.4824120089997</v>
      </c>
      <c r="G241" s="18">
        <v>3.8314614127974682</v>
      </c>
      <c r="H241" s="12">
        <v>33.610146785559998</v>
      </c>
      <c r="I241" s="9"/>
      <c r="J241" s="9"/>
      <c r="K241" s="9"/>
    </row>
    <row r="242" spans="1:11" x14ac:dyDescent="0.35">
      <c r="A242" s="8">
        <v>4351694</v>
      </c>
      <c r="B242" s="8"/>
      <c r="C242" s="8">
        <v>2024</v>
      </c>
      <c r="D242" s="10">
        <v>5545.8683570818757</v>
      </c>
      <c r="E242" s="12">
        <v>320.86899599999998</v>
      </c>
      <c r="F242" s="11">
        <v>3729.7105208439998</v>
      </c>
      <c r="G242" s="18">
        <v>2.4944494310201386</v>
      </c>
      <c r="H242" s="12">
        <v>17.278543214999999</v>
      </c>
      <c r="I242" s="9"/>
      <c r="J242" s="9"/>
      <c r="K242" s="9"/>
    </row>
    <row r="243" spans="1:11" x14ac:dyDescent="0.35">
      <c r="A243" s="8">
        <v>4351694</v>
      </c>
      <c r="B243" s="8"/>
      <c r="C243" s="8">
        <v>2025</v>
      </c>
      <c r="D243" s="10">
        <v>6800.4258463062342</v>
      </c>
      <c r="E243" s="12">
        <v>320.30524100000002</v>
      </c>
      <c r="F243" s="11">
        <v>3670.2009036000004</v>
      </c>
      <c r="G243" s="18">
        <v>2.5444143792474088</v>
      </c>
      <c r="H243" s="12">
        <v>21.202860236100001</v>
      </c>
      <c r="I243" s="9"/>
      <c r="J243" s="9"/>
      <c r="K243" s="9"/>
    </row>
    <row r="244" spans="1:11" x14ac:dyDescent="0.35">
      <c r="A244" s="8">
        <v>4352188</v>
      </c>
      <c r="B244" s="8"/>
      <c r="C244" s="8">
        <v>2012</v>
      </c>
      <c r="D244" s="10">
        <v>202.79650535953627</v>
      </c>
      <c r="E244" s="12">
        <v>2493.2213940000001</v>
      </c>
      <c r="F244" s="11">
        <v>4349.0444934799998</v>
      </c>
      <c r="G244" s="12">
        <v>2.4410825666663018E-3</v>
      </c>
      <c r="H244" s="12">
        <v>8.1339148559999991E-2</v>
      </c>
      <c r="I244" s="9"/>
      <c r="J244" s="9"/>
      <c r="K244" s="9"/>
    </row>
    <row r="245" spans="1:11" x14ac:dyDescent="0.35">
      <c r="A245" s="8">
        <v>4352188</v>
      </c>
      <c r="B245" s="8"/>
      <c r="C245" s="8">
        <v>2013</v>
      </c>
      <c r="D245" s="10">
        <v>195.07087133982921</v>
      </c>
      <c r="E245" s="12">
        <v>2494.171394</v>
      </c>
      <c r="F245" s="11">
        <v>319.41871851229598</v>
      </c>
      <c r="G245" s="12">
        <v>8.7338428336533776E-3</v>
      </c>
      <c r="H245" s="12">
        <v>7.8210692260000006E-2</v>
      </c>
      <c r="I245" s="9"/>
      <c r="J245" s="9"/>
      <c r="K245" s="9"/>
    </row>
    <row r="246" spans="1:11" x14ac:dyDescent="0.35">
      <c r="A246" s="8">
        <v>4352188</v>
      </c>
      <c r="B246" s="8"/>
      <c r="C246" s="8">
        <v>2014</v>
      </c>
      <c r="D246" s="10">
        <v>203.89363476984326</v>
      </c>
      <c r="E246" s="12">
        <v>2505.353877</v>
      </c>
      <c r="F246" s="11">
        <v>279.063094158441</v>
      </c>
      <c r="G246" s="12">
        <v>7.8408414759952184E-3</v>
      </c>
      <c r="H246" s="12">
        <v>8.1383167719999996E-2</v>
      </c>
      <c r="I246" s="9"/>
      <c r="J246" s="9"/>
      <c r="K246" s="9"/>
    </row>
    <row r="247" spans="1:11" x14ac:dyDescent="0.35">
      <c r="A247" s="8">
        <v>4352188</v>
      </c>
      <c r="B247" s="8"/>
      <c r="C247" s="8">
        <v>2015</v>
      </c>
      <c r="D247" s="10">
        <v>110.40772991932798</v>
      </c>
      <c r="E247" s="12">
        <v>2510.704248</v>
      </c>
      <c r="F247" s="11">
        <v>270.42605014867604</v>
      </c>
      <c r="G247" s="12">
        <v>1.0793340149832461E-2</v>
      </c>
      <c r="H247" s="12">
        <v>4.3974805079999998E-2</v>
      </c>
      <c r="I247" s="9"/>
      <c r="J247" s="9"/>
      <c r="K247" s="9"/>
    </row>
    <row r="248" spans="1:11" x14ac:dyDescent="0.35">
      <c r="A248" s="8">
        <v>4352188</v>
      </c>
      <c r="B248" s="8"/>
      <c r="C248" s="8">
        <v>2016</v>
      </c>
      <c r="D248" s="10">
        <v>302.10844079416472</v>
      </c>
      <c r="E248" s="12">
        <v>2510.704248</v>
      </c>
      <c r="F248" s="11">
        <v>220.823945858559</v>
      </c>
      <c r="G248" s="18">
        <v>1.4476437544015166E-2</v>
      </c>
      <c r="H248" s="12">
        <v>0.1203281673</v>
      </c>
      <c r="I248" s="9"/>
      <c r="J248" s="9"/>
      <c r="K248" s="9"/>
    </row>
    <row r="249" spans="1:11" x14ac:dyDescent="0.35">
      <c r="A249" s="8">
        <v>4352188</v>
      </c>
      <c r="B249" s="8"/>
      <c r="C249" s="8">
        <v>2017</v>
      </c>
      <c r="D249" s="10">
        <v>302.3331399364676</v>
      </c>
      <c r="E249" s="12">
        <v>2510.704248</v>
      </c>
      <c r="F249" s="11">
        <v>284.20462979527201</v>
      </c>
      <c r="G249" s="18">
        <v>2.7384128280590444E-2</v>
      </c>
      <c r="H249" s="12">
        <v>0.12041766375999999</v>
      </c>
      <c r="I249" s="9"/>
      <c r="J249" s="9"/>
      <c r="K249" s="9"/>
    </row>
    <row r="250" spans="1:11" x14ac:dyDescent="0.35">
      <c r="A250" s="8">
        <v>4352188</v>
      </c>
      <c r="B250" s="8"/>
      <c r="C250" s="8">
        <v>2018</v>
      </c>
      <c r="D250" s="10">
        <v>247.80705028415133</v>
      </c>
      <c r="E250" s="12">
        <v>2510.704248</v>
      </c>
      <c r="F250" s="11">
        <v>374.63026228259997</v>
      </c>
      <c r="G250" s="18">
        <v>2.0669431366435252E-2</v>
      </c>
      <c r="H250" s="12">
        <v>9.8700215479999992E-2</v>
      </c>
      <c r="I250" s="9"/>
      <c r="J250" s="9"/>
      <c r="K250" s="9"/>
    </row>
    <row r="251" spans="1:11" x14ac:dyDescent="0.35">
      <c r="A251" s="8">
        <v>4352188</v>
      </c>
      <c r="B251" s="8"/>
      <c r="C251" s="8">
        <v>2019</v>
      </c>
      <c r="D251" s="10">
        <v>154.30943710758137</v>
      </c>
      <c r="E251" s="12">
        <v>2510.704248</v>
      </c>
      <c r="F251" s="11">
        <v>340.09717108373201</v>
      </c>
      <c r="G251" s="18">
        <v>-3.7556169262132122E-2</v>
      </c>
      <c r="H251" s="12">
        <v>6.1460618960000005E-2</v>
      </c>
      <c r="I251" s="9"/>
      <c r="J251" s="9"/>
      <c r="K251" s="9"/>
    </row>
    <row r="252" spans="1:11" x14ac:dyDescent="0.35">
      <c r="A252" s="8">
        <v>4352188</v>
      </c>
      <c r="B252" s="8"/>
      <c r="C252" s="8">
        <v>2020</v>
      </c>
      <c r="D252" s="10">
        <v>71.960077741439306</v>
      </c>
      <c r="E252" s="12">
        <v>2510.704248</v>
      </c>
      <c r="F252" s="11">
        <v>241.59147351721202</v>
      </c>
      <c r="G252" s="18">
        <v>-2.4458438378625932E-2</v>
      </c>
      <c r="H252" s="12">
        <v>2.866131198E-2</v>
      </c>
      <c r="I252" s="9"/>
      <c r="J252" s="9"/>
      <c r="K252" s="9"/>
    </row>
    <row r="253" spans="1:11" x14ac:dyDescent="0.35">
      <c r="A253" s="8">
        <v>4352188</v>
      </c>
      <c r="B253" s="8"/>
      <c r="C253" s="8">
        <v>2021</v>
      </c>
      <c r="D253" s="10">
        <v>187.90191995094085</v>
      </c>
      <c r="E253" s="12">
        <v>2499.1268700000001</v>
      </c>
      <c r="F253" s="11">
        <v>155.38948661857802</v>
      </c>
      <c r="G253" s="18">
        <v>4.5243172333431787E-2</v>
      </c>
      <c r="H253" s="12">
        <v>7.5187027199999992E-2</v>
      </c>
      <c r="I253" s="9"/>
      <c r="J253" s="9"/>
      <c r="K253" s="9"/>
    </row>
    <row r="254" spans="1:11" x14ac:dyDescent="0.35">
      <c r="A254" s="8">
        <v>4352188</v>
      </c>
      <c r="B254" s="8"/>
      <c r="C254" s="8">
        <v>2022</v>
      </c>
      <c r="D254" s="10">
        <v>193.13726701646056</v>
      </c>
      <c r="E254" s="12">
        <v>2499.1268700000001</v>
      </c>
      <c r="F254" s="11">
        <v>236.21144931459202</v>
      </c>
      <c r="G254" s="18">
        <v>3.4602732376250209E-2</v>
      </c>
      <c r="H254" s="12">
        <v>7.7641577640000001E-2</v>
      </c>
      <c r="I254" s="9"/>
      <c r="J254" s="9"/>
      <c r="K254" s="9"/>
    </row>
    <row r="255" spans="1:11" x14ac:dyDescent="0.35">
      <c r="A255" s="8">
        <v>4352188</v>
      </c>
      <c r="B255" s="8"/>
      <c r="C255" s="8">
        <v>2023</v>
      </c>
      <c r="D255" s="10">
        <v>177.61610204848606</v>
      </c>
      <c r="E255" s="12">
        <v>2499.1268700000001</v>
      </c>
      <c r="F255" s="11">
        <v>254.70490120995302</v>
      </c>
      <c r="G255" s="18">
        <v>3.8021722117370114E-2</v>
      </c>
      <c r="H255" s="12">
        <v>7.1071262600000004E-2</v>
      </c>
      <c r="I255" s="9"/>
      <c r="J255" s="9"/>
      <c r="K255" s="9"/>
    </row>
    <row r="256" spans="1:11" x14ac:dyDescent="0.35">
      <c r="A256" s="8">
        <v>4352188</v>
      </c>
      <c r="B256" s="8"/>
      <c r="C256" s="8">
        <v>2024</v>
      </c>
      <c r="D256" s="10">
        <v>185.29894336333413</v>
      </c>
      <c r="E256" s="12">
        <v>2499.1268700000001</v>
      </c>
      <c r="F256" s="11">
        <v>287.48549869528205</v>
      </c>
      <c r="G256" s="18">
        <v>1.4573697988673459E-2</v>
      </c>
      <c r="H256" s="12">
        <v>7.4145472800000001E-2</v>
      </c>
      <c r="I256" s="9"/>
      <c r="J256" s="9"/>
      <c r="K256" s="9"/>
    </row>
    <row r="257" spans="1:11" x14ac:dyDescent="0.35">
      <c r="A257" s="8">
        <v>4352188</v>
      </c>
      <c r="B257" s="8"/>
      <c r="C257" s="8">
        <v>2025</v>
      </c>
      <c r="D257" s="10">
        <v>164.52348639324427</v>
      </c>
      <c r="E257" s="12">
        <v>2499.1268700000001</v>
      </c>
      <c r="F257" s="11">
        <v>258.24418007297999</v>
      </c>
      <c r="G257" s="18">
        <v>3.1924195381268393E-3</v>
      </c>
      <c r="H257" s="12">
        <v>6.5832386650000005E-2</v>
      </c>
      <c r="I257" s="9"/>
      <c r="J257" s="9"/>
      <c r="K257" s="9"/>
    </row>
    <row r="258" spans="1:11" x14ac:dyDescent="0.35">
      <c r="A258" s="8">
        <v>4353093</v>
      </c>
      <c r="B258" s="8"/>
      <c r="C258" s="8">
        <v>2016</v>
      </c>
      <c r="D258" s="10">
        <v>9.7784210764133537</v>
      </c>
      <c r="E258" s="12">
        <v>917.42043999999999</v>
      </c>
      <c r="F258" s="11">
        <v>8.6670247820219988</v>
      </c>
      <c r="G258" s="18">
        <v>-9.803230591107456E-3</v>
      </c>
      <c r="H258" s="12">
        <v>1.5185479785000001E-2</v>
      </c>
      <c r="I258" s="9"/>
      <c r="J258" s="9"/>
      <c r="K258" s="9"/>
    </row>
    <row r="259" spans="1:11" x14ac:dyDescent="0.35">
      <c r="A259" s="8">
        <v>4353093</v>
      </c>
      <c r="B259" s="8"/>
      <c r="C259" s="8">
        <v>2017</v>
      </c>
      <c r="D259" s="10">
        <v>24.980548334562908</v>
      </c>
      <c r="E259" s="12">
        <v>1481.6037679999999</v>
      </c>
      <c r="F259" s="11">
        <v>14.634615376419999</v>
      </c>
      <c r="G259" s="18">
        <v>-5.4262904947190412E-3</v>
      </c>
      <c r="H259" s="12">
        <v>2.0309326674000001E-2</v>
      </c>
      <c r="I259" s="9"/>
      <c r="J259" s="9"/>
      <c r="K259" s="9"/>
    </row>
    <row r="260" spans="1:11" x14ac:dyDescent="0.35">
      <c r="A260" s="8">
        <v>4353093</v>
      </c>
      <c r="B260" s="8"/>
      <c r="C260" s="8">
        <v>2018</v>
      </c>
      <c r="D260" s="10">
        <v>26.412933404913989</v>
      </c>
      <c r="E260" s="12">
        <v>2003.3449169999999</v>
      </c>
      <c r="F260" s="11">
        <v>20.556724158375999</v>
      </c>
      <c r="G260" s="18">
        <v>-3.5763586539810954E-3</v>
      </c>
      <c r="H260" s="12">
        <v>1.4096419499999999E-2</v>
      </c>
      <c r="I260" s="9"/>
      <c r="J260" s="9"/>
      <c r="K260" s="9"/>
    </row>
    <row r="261" spans="1:11" x14ac:dyDescent="0.35">
      <c r="A261" s="8">
        <v>4353093</v>
      </c>
      <c r="B261" s="8"/>
      <c r="C261" s="8">
        <v>2019</v>
      </c>
      <c r="D261" s="10">
        <v>48.889594975176308</v>
      </c>
      <c r="E261" s="12">
        <v>2899.5603970000002</v>
      </c>
      <c r="F261" s="11">
        <v>37.856945601984002</v>
      </c>
      <c r="G261" s="18">
        <v>-4.7003024013016637E-3</v>
      </c>
      <c r="H261" s="12">
        <v>1.6861036943999999E-2</v>
      </c>
      <c r="I261" s="9"/>
      <c r="J261" s="9"/>
      <c r="K261" s="9"/>
    </row>
    <row r="262" spans="1:11" x14ac:dyDescent="0.35">
      <c r="A262" s="8">
        <v>4353093</v>
      </c>
      <c r="B262" s="8"/>
      <c r="C262" s="8">
        <v>2020</v>
      </c>
      <c r="D262" s="10">
        <v>68.474530637283721</v>
      </c>
      <c r="E262" s="12">
        <v>4317.1161030000003</v>
      </c>
      <c r="F262" s="11">
        <v>68.228370084776003</v>
      </c>
      <c r="G262" s="18">
        <v>0</v>
      </c>
      <c r="H262" s="12">
        <v>2.0058632931999998E-2</v>
      </c>
      <c r="I262" s="9"/>
      <c r="J262" s="9"/>
      <c r="K262" s="9"/>
    </row>
    <row r="263" spans="1:11" x14ac:dyDescent="0.35">
      <c r="A263" s="8">
        <v>4353093</v>
      </c>
      <c r="B263" s="8"/>
      <c r="C263" s="8">
        <v>2021</v>
      </c>
      <c r="D263" s="10">
        <v>81.692396376881987</v>
      </c>
      <c r="E263" s="12">
        <v>4513.2953980000002</v>
      </c>
      <c r="F263" s="11">
        <v>55.737219257077001</v>
      </c>
      <c r="G263" s="18">
        <v>-2.1769054559425205E-3</v>
      </c>
      <c r="H263" s="12">
        <v>1.8904966183999998E-2</v>
      </c>
      <c r="I263" s="9"/>
      <c r="J263" s="9"/>
      <c r="K263" s="9"/>
    </row>
    <row r="264" spans="1:11" x14ac:dyDescent="0.35">
      <c r="A264" s="8">
        <v>4353093</v>
      </c>
      <c r="B264" s="8"/>
      <c r="C264" s="8">
        <v>2022</v>
      </c>
      <c r="D264" s="10">
        <v>51.713175118402688</v>
      </c>
      <c r="E264" s="12">
        <v>5647.0485719999997</v>
      </c>
      <c r="F264" s="11">
        <v>56.323460870904</v>
      </c>
      <c r="G264" s="18">
        <v>-2.0193572840345175E-3</v>
      </c>
      <c r="H264" s="12">
        <v>1.0874736624E-2</v>
      </c>
      <c r="I264" s="9"/>
      <c r="J264" s="9"/>
      <c r="K264" s="9"/>
    </row>
    <row r="265" spans="1:11" x14ac:dyDescent="0.35">
      <c r="A265" s="8">
        <v>4353093</v>
      </c>
      <c r="B265" s="8"/>
      <c r="C265" s="8">
        <v>2023</v>
      </c>
      <c r="D265" s="10">
        <v>55.780835363285028</v>
      </c>
      <c r="E265" s="12">
        <v>6055.6382919999996</v>
      </c>
      <c r="F265" s="11">
        <v>62.009607685380004</v>
      </c>
      <c r="G265" s="18">
        <v>-6.5568437815768097E-4</v>
      </c>
      <c r="H265" s="12">
        <v>9.5432856120000013E-3</v>
      </c>
      <c r="I265" s="9"/>
      <c r="J265" s="9"/>
      <c r="K265" s="9"/>
    </row>
    <row r="266" spans="1:11" x14ac:dyDescent="0.35">
      <c r="A266" s="8">
        <v>4353093</v>
      </c>
      <c r="B266" s="8"/>
      <c r="C266" s="8">
        <v>2024</v>
      </c>
      <c r="D266" s="10">
        <v>63.478063096906595</v>
      </c>
      <c r="E266" s="12">
        <v>6850.4478179999996</v>
      </c>
      <c r="F266" s="11">
        <v>56.712122230699002</v>
      </c>
      <c r="G266" s="18">
        <v>-1.2955809750191958E-3</v>
      </c>
      <c r="H266" s="12">
        <v>9.2827526400000009E-3</v>
      </c>
      <c r="I266" s="9"/>
      <c r="J266" s="9"/>
      <c r="K266" s="9"/>
    </row>
    <row r="267" spans="1:11" x14ac:dyDescent="0.35">
      <c r="A267" s="8">
        <v>4353093</v>
      </c>
      <c r="B267" s="8"/>
      <c r="C267" s="8">
        <v>2025</v>
      </c>
      <c r="D267" s="10">
        <v>114.10347625136265</v>
      </c>
      <c r="E267" s="12">
        <v>8954.3803609999995</v>
      </c>
      <c r="F267" s="11">
        <v>83.331719178120011</v>
      </c>
      <c r="G267" s="18">
        <v>-6.786782818505912E-4</v>
      </c>
      <c r="H267" s="12">
        <v>1.4007470652000002E-2</v>
      </c>
      <c r="I267" s="9"/>
      <c r="J267" s="9"/>
      <c r="K267" s="9"/>
    </row>
    <row r="268" spans="1:11" x14ac:dyDescent="0.35">
      <c r="A268" s="8">
        <v>4353124</v>
      </c>
      <c r="B268" s="8"/>
      <c r="C268" s="8">
        <v>2012</v>
      </c>
      <c r="D268" s="10">
        <v>18.066248197062784</v>
      </c>
      <c r="E268" s="12">
        <v>23.156790000000001</v>
      </c>
      <c r="F268" s="11">
        <v>25.255485530352001</v>
      </c>
      <c r="G268" s="12">
        <v>-0.12641258204153677</v>
      </c>
      <c r="H268" s="12">
        <v>0.78017066256000001</v>
      </c>
      <c r="I268" s="9"/>
      <c r="J268" s="9"/>
      <c r="K268" s="9"/>
    </row>
    <row r="269" spans="1:11" x14ac:dyDescent="0.35">
      <c r="A269" s="8">
        <v>4353124</v>
      </c>
      <c r="B269" s="8"/>
      <c r="C269" s="8">
        <v>2013</v>
      </c>
      <c r="D269" s="10">
        <v>8.8230956676044219</v>
      </c>
      <c r="E269" s="12">
        <v>25.156790000000001</v>
      </c>
      <c r="F269" s="11">
        <v>25.768814065820003</v>
      </c>
      <c r="G269" s="12">
        <v>-0.11923660490632254</v>
      </c>
      <c r="H269" s="12">
        <v>0.38101548909000005</v>
      </c>
      <c r="I269" s="9"/>
      <c r="J269" s="9"/>
      <c r="K269" s="9"/>
    </row>
    <row r="270" spans="1:11" x14ac:dyDescent="0.35">
      <c r="A270" s="8">
        <v>4353124</v>
      </c>
      <c r="B270" s="8"/>
      <c r="C270" s="8">
        <v>2014</v>
      </c>
      <c r="D270" s="10">
        <v>4.3336382749438025</v>
      </c>
      <c r="E270" s="12">
        <v>28.263290000000001</v>
      </c>
      <c r="F270" s="11">
        <v>20.186893671876</v>
      </c>
      <c r="G270" s="12">
        <v>-8.2264611613680177E-2</v>
      </c>
      <c r="H270" s="12">
        <v>0.1558482038</v>
      </c>
      <c r="I270" s="9"/>
      <c r="J270" s="9"/>
      <c r="K270" s="9"/>
    </row>
    <row r="271" spans="1:11" x14ac:dyDescent="0.35">
      <c r="A271" s="8">
        <v>4353124</v>
      </c>
      <c r="B271" s="8"/>
      <c r="C271" s="8">
        <v>2015</v>
      </c>
      <c r="D271" s="10">
        <v>2.8749374501840177</v>
      </c>
      <c r="E271" s="12">
        <v>57.322113999999999</v>
      </c>
      <c r="F271" s="11">
        <v>21.463344370963998</v>
      </c>
      <c r="G271" s="12">
        <v>-3.3169197195350136E-2</v>
      </c>
      <c r="H271" s="12">
        <v>6.6361893524999993E-2</v>
      </c>
      <c r="I271" s="9"/>
      <c r="J271" s="9"/>
      <c r="K271" s="9"/>
    </row>
    <row r="272" spans="1:11" x14ac:dyDescent="0.35">
      <c r="A272" s="8">
        <v>4353124</v>
      </c>
      <c r="B272" s="8"/>
      <c r="C272" s="8">
        <v>2016</v>
      </c>
      <c r="D272" s="10">
        <v>2.4845779967719408</v>
      </c>
      <c r="E272" s="12">
        <v>82.134986999999995</v>
      </c>
      <c r="F272" s="11">
        <v>19.758559372537999</v>
      </c>
      <c r="G272" s="18">
        <v>-1.307184841589974E-2</v>
      </c>
      <c r="H272" s="12">
        <v>3.0249901227000001E-2</v>
      </c>
      <c r="I272" s="9"/>
      <c r="J272" s="9"/>
      <c r="K272" s="9"/>
    </row>
    <row r="273" spans="1:11" x14ac:dyDescent="0.35">
      <c r="A273" s="8">
        <v>4353124</v>
      </c>
      <c r="B273" s="8"/>
      <c r="C273" s="8">
        <v>2017</v>
      </c>
      <c r="D273" s="10">
        <v>7.5052906408267361</v>
      </c>
      <c r="E273" s="12">
        <v>319.703912</v>
      </c>
      <c r="F273" s="11">
        <v>35.745666370557004</v>
      </c>
      <c r="G273" s="18">
        <v>1.1939869194611786E-2</v>
      </c>
      <c r="H273" s="12">
        <v>3.2101101563749998E-2</v>
      </c>
      <c r="I273" s="9"/>
      <c r="J273" s="9"/>
      <c r="K273" s="9"/>
    </row>
    <row r="274" spans="1:11" x14ac:dyDescent="0.35">
      <c r="A274" s="8">
        <v>4353124</v>
      </c>
      <c r="B274" s="8"/>
      <c r="C274" s="8">
        <v>2018</v>
      </c>
      <c r="D274" s="10">
        <v>21.357060660747294</v>
      </c>
      <c r="E274" s="12">
        <v>705.93755099999998</v>
      </c>
      <c r="F274" s="11">
        <v>39.012098076192004</v>
      </c>
      <c r="G274" s="18">
        <v>-1.4442480063594483E-2</v>
      </c>
      <c r="H274" s="12">
        <v>3.37747416015E-2</v>
      </c>
      <c r="I274" s="9"/>
      <c r="J274" s="9"/>
      <c r="K274" s="9"/>
    </row>
    <row r="275" spans="1:11" x14ac:dyDescent="0.35">
      <c r="A275" s="8">
        <v>4353124</v>
      </c>
      <c r="B275" s="8"/>
      <c r="C275" s="8">
        <v>2019</v>
      </c>
      <c r="D275" s="10">
        <v>29.857332331024367</v>
      </c>
      <c r="E275" s="12">
        <v>737.92749700000002</v>
      </c>
      <c r="F275" s="11">
        <v>7.0741151144399996</v>
      </c>
      <c r="G275" s="18">
        <v>-4.068118344965161E-2</v>
      </c>
      <c r="H275" s="12">
        <v>4.1056883661999999E-2</v>
      </c>
      <c r="I275" s="9"/>
      <c r="J275" s="9"/>
      <c r="K275" s="9"/>
    </row>
    <row r="276" spans="1:11" x14ac:dyDescent="0.35">
      <c r="A276" s="8">
        <v>4353124</v>
      </c>
      <c r="B276" s="8"/>
      <c r="C276" s="8">
        <v>2020</v>
      </c>
      <c r="D276" s="10">
        <v>51.88446958662594</v>
      </c>
      <c r="E276" s="12">
        <v>992.68983100000003</v>
      </c>
      <c r="F276" s="11">
        <v>7.5719512876620003</v>
      </c>
      <c r="G276" s="18">
        <v>-4.068118344965161E-2</v>
      </c>
      <c r="H276" s="12">
        <v>5.2905357446250002E-2</v>
      </c>
      <c r="I276" s="9"/>
      <c r="J276" s="9"/>
      <c r="K276" s="9"/>
    </row>
    <row r="277" spans="1:11" x14ac:dyDescent="0.35">
      <c r="A277" s="8">
        <v>4353124</v>
      </c>
      <c r="B277" s="8"/>
      <c r="C277" s="8">
        <v>2021</v>
      </c>
      <c r="D277" s="10">
        <v>36.235659213332582</v>
      </c>
      <c r="E277" s="12">
        <v>1150.519886</v>
      </c>
      <c r="F277" s="11">
        <v>11.07891458354</v>
      </c>
      <c r="G277" s="18">
        <v>-6.8786439788888799E-3</v>
      </c>
      <c r="H277" s="12">
        <v>3.2497427279999998E-2</v>
      </c>
      <c r="I277" s="9"/>
      <c r="J277" s="9"/>
      <c r="K277" s="9"/>
    </row>
    <row r="278" spans="1:11" x14ac:dyDescent="0.35">
      <c r="A278" s="8">
        <v>4353124</v>
      </c>
      <c r="B278" s="8"/>
      <c r="C278" s="8">
        <v>2022</v>
      </c>
      <c r="D278" s="10">
        <v>46.522032212093102</v>
      </c>
      <c r="E278" s="12">
        <v>1225.744782</v>
      </c>
      <c r="F278" s="11">
        <v>7.0425929275449999</v>
      </c>
      <c r="G278" s="18">
        <v>-7.4196455276770192E-3</v>
      </c>
      <c r="H278" s="12">
        <v>3.7954093621499999E-2</v>
      </c>
      <c r="I278" s="9"/>
      <c r="J278" s="9"/>
      <c r="K278" s="9"/>
    </row>
    <row r="279" spans="1:11" x14ac:dyDescent="0.35">
      <c r="A279" s="8">
        <v>4353124</v>
      </c>
      <c r="B279" s="8"/>
      <c r="C279" s="8">
        <v>2023</v>
      </c>
      <c r="D279" s="10">
        <v>48.659846665181291</v>
      </c>
      <c r="E279" s="12">
        <v>1232.3184650000001</v>
      </c>
      <c r="F279" s="11">
        <v>13.434299690926998</v>
      </c>
      <c r="G279" s="18">
        <v>7.4618656907536494E-3</v>
      </c>
      <c r="H279" s="12">
        <v>3.9486421770999994E-2</v>
      </c>
      <c r="I279" s="9"/>
      <c r="J279" s="9"/>
      <c r="K279" s="9"/>
    </row>
    <row r="280" spans="1:11" x14ac:dyDescent="0.35">
      <c r="A280" s="8">
        <v>4353124</v>
      </c>
      <c r="B280" s="8"/>
      <c r="C280" s="8">
        <v>2024</v>
      </c>
      <c r="D280" s="10">
        <v>22.661533709628792</v>
      </c>
      <c r="E280" s="12">
        <v>1448.1082630000001</v>
      </c>
      <c r="F280" s="11">
        <v>14.266935408264001</v>
      </c>
      <c r="G280" s="18">
        <v>-2.5559394856409061E-3</v>
      </c>
      <c r="H280" s="12">
        <v>1.5649060425E-2</v>
      </c>
      <c r="I280" s="9"/>
      <c r="J280" s="9"/>
      <c r="K280" s="9"/>
    </row>
    <row r="281" spans="1:11" x14ac:dyDescent="0.35">
      <c r="A281" s="8">
        <v>4353124</v>
      </c>
      <c r="B281" s="8"/>
      <c r="C281" s="8">
        <v>2025</v>
      </c>
      <c r="D281" s="10">
        <v>11.206759772657163</v>
      </c>
      <c r="E281" s="12">
        <v>1448.1082630000001</v>
      </c>
      <c r="F281" s="11">
        <v>3.4401076711199998</v>
      </c>
      <c r="G281" s="18">
        <v>-6.5952382156893377E-3</v>
      </c>
      <c r="H281" s="12">
        <v>7.7388963649999993E-3</v>
      </c>
      <c r="I281" s="9"/>
      <c r="J281" s="9"/>
      <c r="K281" s="9"/>
    </row>
    <row r="282" spans="1:11" x14ac:dyDescent="0.35">
      <c r="A282" s="8">
        <v>4353200</v>
      </c>
      <c r="B282" s="8"/>
      <c r="C282" s="8">
        <v>2012</v>
      </c>
      <c r="D282" s="10">
        <v>406.89598918413247</v>
      </c>
      <c r="E282" s="12">
        <v>1822.834263</v>
      </c>
      <c r="F282" s="11">
        <v>261.73453458659048</v>
      </c>
      <c r="G282" s="12">
        <v>4.0779531482699534E-2</v>
      </c>
      <c r="H282" s="12">
        <v>0.28037383185749998</v>
      </c>
      <c r="I282" s="9"/>
      <c r="J282" s="9"/>
      <c r="K282" s="9"/>
    </row>
    <row r="283" spans="1:11" x14ac:dyDescent="0.35">
      <c r="A283" s="8">
        <v>4353200</v>
      </c>
      <c r="B283" s="8"/>
      <c r="C283" s="8">
        <v>2013</v>
      </c>
      <c r="D283" s="10">
        <v>408.7900778487363</v>
      </c>
      <c r="E283" s="12">
        <v>1829.9947629999999</v>
      </c>
      <c r="F283" s="11">
        <v>272.63509627156549</v>
      </c>
      <c r="G283" s="12">
        <v>2.4398391967069041E-2</v>
      </c>
      <c r="H283" s="12">
        <v>0.22363952620500002</v>
      </c>
      <c r="I283" s="9"/>
      <c r="J283" s="9"/>
      <c r="K283" s="9"/>
    </row>
    <row r="284" spans="1:11" x14ac:dyDescent="0.35">
      <c r="A284" s="8">
        <v>4353200</v>
      </c>
      <c r="B284" s="8"/>
      <c r="C284" s="8">
        <v>2014</v>
      </c>
      <c r="D284" s="10">
        <v>310.15651899494043</v>
      </c>
      <c r="E284" s="12">
        <v>1831.4947629999999</v>
      </c>
      <c r="F284" s="11">
        <v>231.43180844045403</v>
      </c>
      <c r="G284" s="12">
        <v>9.4537260706665932E-3</v>
      </c>
      <c r="H284" s="12">
        <v>0.16948492163250001</v>
      </c>
      <c r="I284" s="9"/>
      <c r="J284" s="9"/>
      <c r="K284" s="9"/>
    </row>
    <row r="285" spans="1:11" x14ac:dyDescent="0.35">
      <c r="A285" s="8">
        <v>4353200</v>
      </c>
      <c r="B285" s="8"/>
      <c r="C285" s="8">
        <v>2015</v>
      </c>
      <c r="D285" s="10">
        <v>209.99663445073412</v>
      </c>
      <c r="E285" s="12">
        <v>1506.8484960000001</v>
      </c>
      <c r="F285" s="11">
        <v>200.71284968293457</v>
      </c>
      <c r="G285" s="12">
        <v>2.0767701630488307E-2</v>
      </c>
      <c r="H285" s="12">
        <v>0.11465860492374999</v>
      </c>
      <c r="I285" s="9"/>
      <c r="J285" s="9"/>
      <c r="K285" s="9"/>
    </row>
    <row r="286" spans="1:11" x14ac:dyDescent="0.35">
      <c r="A286" s="8">
        <v>4353200</v>
      </c>
      <c r="B286" s="8"/>
      <c r="C286" s="8">
        <v>2016</v>
      </c>
      <c r="D286" s="10">
        <v>371.88489714018982</v>
      </c>
      <c r="E286" s="12">
        <v>1798.329479</v>
      </c>
      <c r="F286" s="11">
        <v>281.28142937071942</v>
      </c>
      <c r="G286" s="18">
        <v>3.2982079191761313E-2</v>
      </c>
      <c r="H286" s="12">
        <v>0.19137692612999999</v>
      </c>
      <c r="I286" s="9"/>
      <c r="J286" s="9"/>
      <c r="K286" s="9"/>
    </row>
    <row r="287" spans="1:11" x14ac:dyDescent="0.35">
      <c r="A287" s="8">
        <v>4353200</v>
      </c>
      <c r="B287" s="8"/>
      <c r="C287" s="8">
        <v>2017</v>
      </c>
      <c r="D287" s="10">
        <v>322.06346676574998</v>
      </c>
      <c r="E287" s="12">
        <v>1928.329479</v>
      </c>
      <c r="F287" s="11">
        <v>146.98760000000001</v>
      </c>
      <c r="G287" s="18">
        <v>8.9999999999999993E-3</v>
      </c>
      <c r="H287" s="12">
        <v>0.17909035609250001</v>
      </c>
      <c r="I287" s="9"/>
      <c r="J287" s="9"/>
      <c r="K287" s="9"/>
    </row>
    <row r="288" spans="1:11" x14ac:dyDescent="0.35">
      <c r="A288" s="8">
        <v>4353200</v>
      </c>
      <c r="B288" s="8"/>
      <c r="C288" s="8">
        <v>2018</v>
      </c>
      <c r="D288" s="10">
        <v>211.85302397329232</v>
      </c>
      <c r="E288" s="12">
        <v>1928.329479</v>
      </c>
      <c r="F288" s="11">
        <v>183.58189999999999</v>
      </c>
      <c r="G288" s="18">
        <v>0.02</v>
      </c>
      <c r="H288" s="12">
        <v>0.10986349909620001</v>
      </c>
      <c r="I288" s="9"/>
      <c r="J288" s="9"/>
      <c r="K288" s="9"/>
    </row>
    <row r="289" spans="1:11" x14ac:dyDescent="0.35">
      <c r="A289" s="8">
        <v>4353200</v>
      </c>
      <c r="B289" s="8"/>
      <c r="C289" s="8">
        <v>2019</v>
      </c>
      <c r="D289" s="10">
        <v>306.46915773409575</v>
      </c>
      <c r="E289" s="12">
        <v>1928.329479</v>
      </c>
      <c r="F289" s="11">
        <v>183.61950000000002</v>
      </c>
      <c r="G289" s="18">
        <v>2.3E-2</v>
      </c>
      <c r="H289" s="12">
        <v>0.15892987223999999</v>
      </c>
      <c r="I289" s="9"/>
      <c r="J289" s="9"/>
      <c r="K289" s="9"/>
    </row>
    <row r="290" spans="1:11" x14ac:dyDescent="0.35">
      <c r="A290" s="8">
        <v>4353200</v>
      </c>
      <c r="B290" s="8"/>
      <c r="C290" s="8">
        <v>2020</v>
      </c>
      <c r="D290" s="10">
        <v>621.32837793832527</v>
      </c>
      <c r="E290" s="12">
        <v>1928.329479</v>
      </c>
      <c r="F290" s="11">
        <v>283.63100000000003</v>
      </c>
      <c r="G290" s="18">
        <v>3.9E-2</v>
      </c>
      <c r="H290" s="12">
        <v>0.32221069309200001</v>
      </c>
      <c r="I290" s="9"/>
      <c r="J290" s="9"/>
      <c r="K290" s="9"/>
    </row>
    <row r="291" spans="1:11" x14ac:dyDescent="0.35">
      <c r="A291" s="8">
        <v>4353200</v>
      </c>
      <c r="B291" s="8"/>
      <c r="C291" s="8">
        <v>2021</v>
      </c>
      <c r="D291" s="10">
        <v>436.04915631745939</v>
      </c>
      <c r="E291" s="12">
        <v>1916.5039879999999</v>
      </c>
      <c r="F291" s="11">
        <v>294.60899999999998</v>
      </c>
      <c r="G291" s="18">
        <v>3.9E-2</v>
      </c>
      <c r="H291" s="12">
        <v>0.22612793148999999</v>
      </c>
      <c r="I291" s="9"/>
      <c r="J291" s="9"/>
      <c r="K291" s="9"/>
    </row>
    <row r="292" spans="1:11" x14ac:dyDescent="0.35">
      <c r="A292" s="8">
        <v>4353200</v>
      </c>
      <c r="B292" s="8"/>
      <c r="C292" s="8">
        <v>2022</v>
      </c>
      <c r="D292" s="10">
        <v>381.93838138070095</v>
      </c>
      <c r="E292" s="12">
        <v>1916.5039879999999</v>
      </c>
      <c r="F292" s="11">
        <v>291.95600000000002</v>
      </c>
      <c r="G292" s="18">
        <v>3.2000000000000001E-2</v>
      </c>
      <c r="H292" s="12">
        <v>0.19928911380939998</v>
      </c>
      <c r="I292" s="9"/>
      <c r="J292" s="9"/>
      <c r="K292" s="9"/>
    </row>
    <row r="293" spans="1:11" x14ac:dyDescent="0.35">
      <c r="A293" s="8">
        <v>4353200</v>
      </c>
      <c r="B293" s="8"/>
      <c r="C293" s="8">
        <v>2023</v>
      </c>
      <c r="D293" s="10">
        <v>411.57916698712251</v>
      </c>
      <c r="E293" s="12">
        <v>1916.5039879999999</v>
      </c>
      <c r="F293" s="11">
        <v>364.10300000000001</v>
      </c>
      <c r="G293" s="18">
        <v>4.1000000000000002E-2</v>
      </c>
      <c r="H293" s="12">
        <v>0.21475518421259998</v>
      </c>
      <c r="I293" s="9"/>
      <c r="J293" s="9"/>
      <c r="K293" s="9"/>
    </row>
    <row r="294" spans="1:11" x14ac:dyDescent="0.35">
      <c r="A294" s="8">
        <v>4353200</v>
      </c>
      <c r="B294" s="8"/>
      <c r="C294" s="8">
        <v>2024</v>
      </c>
      <c r="D294" s="10">
        <v>872.67981981851983</v>
      </c>
      <c r="E294" s="12">
        <v>2029.3172050000001</v>
      </c>
      <c r="F294" s="11">
        <v>546.66800000000001</v>
      </c>
      <c r="G294" s="18">
        <v>7.1999999999999995E-2</v>
      </c>
      <c r="H294" s="12">
        <v>0.43003618047900005</v>
      </c>
      <c r="I294" s="9"/>
      <c r="J294" s="9"/>
      <c r="K294" s="9"/>
    </row>
    <row r="295" spans="1:11" x14ac:dyDescent="0.35">
      <c r="A295" s="8">
        <v>4353200</v>
      </c>
      <c r="B295" s="8"/>
      <c r="C295" s="8">
        <v>2025</v>
      </c>
      <c r="D295" s="10">
        <v>3301.5468365633556</v>
      </c>
      <c r="E295" s="12">
        <v>2027.3134709999999</v>
      </c>
      <c r="F295" s="11">
        <v>1035.9970000000001</v>
      </c>
      <c r="G295" s="18">
        <v>0.17599999999999999</v>
      </c>
      <c r="H295" s="12">
        <v>1.6285329741999999</v>
      </c>
      <c r="I295" s="9"/>
      <c r="J295" s="9"/>
      <c r="K295" s="9"/>
    </row>
    <row r="296" spans="1:11" x14ac:dyDescent="0.35">
      <c r="A296" s="8">
        <v>4354011</v>
      </c>
      <c r="B296" s="8"/>
      <c r="C296" s="8">
        <v>2013</v>
      </c>
      <c r="D296" s="10">
        <v>899.20015534325159</v>
      </c>
      <c r="E296" s="12">
        <v>155.64096799999999</v>
      </c>
      <c r="F296" s="11">
        <v>275.19969807263999</v>
      </c>
      <c r="G296" s="12">
        <v>0.46096083494617324</v>
      </c>
      <c r="H296" s="12">
        <v>5.7774001723200001</v>
      </c>
      <c r="I296" s="9"/>
      <c r="J296" s="9"/>
      <c r="K296" s="9"/>
    </row>
    <row r="297" spans="1:11" x14ac:dyDescent="0.35">
      <c r="A297" s="8">
        <v>4354011</v>
      </c>
      <c r="B297" s="8"/>
      <c r="C297" s="8">
        <v>2014</v>
      </c>
      <c r="D297" s="10">
        <v>580.82729861519999</v>
      </c>
      <c r="E297" s="12">
        <v>156.85467800000001</v>
      </c>
      <c r="F297" s="11">
        <v>267.65536613790601</v>
      </c>
      <c r="G297" s="12">
        <v>0.36986769678194775</v>
      </c>
      <c r="H297" s="12">
        <v>3.7232519142</v>
      </c>
      <c r="I297" s="9"/>
      <c r="J297" s="9"/>
      <c r="K297" s="9"/>
    </row>
    <row r="298" spans="1:11" x14ac:dyDescent="0.35">
      <c r="A298" s="8">
        <v>4354011</v>
      </c>
      <c r="B298" s="8"/>
      <c r="C298" s="8">
        <v>2015</v>
      </c>
      <c r="D298" s="10">
        <v>643.11388934612444</v>
      </c>
      <c r="E298" s="12">
        <v>157.324918</v>
      </c>
      <c r="F298" s="11">
        <v>285.773456932344</v>
      </c>
      <c r="G298" s="12">
        <v>0.2221731503180667</v>
      </c>
      <c r="H298" s="12">
        <v>4.1000619015400002</v>
      </c>
      <c r="I298" s="9"/>
      <c r="J298" s="9"/>
      <c r="K298" s="9"/>
    </row>
    <row r="299" spans="1:11" x14ac:dyDescent="0.35">
      <c r="A299" s="8">
        <v>4354011</v>
      </c>
      <c r="B299" s="8"/>
      <c r="C299" s="8">
        <v>2016</v>
      </c>
      <c r="D299" s="10">
        <v>643.16147210537997</v>
      </c>
      <c r="E299" s="12">
        <v>157.81842399999999</v>
      </c>
      <c r="F299" s="11">
        <v>339.07604922404994</v>
      </c>
      <c r="G299" s="18">
        <v>0.3710145731403745</v>
      </c>
      <c r="H299" s="12">
        <v>4.0783859994</v>
      </c>
      <c r="I299" s="9"/>
      <c r="J299" s="9"/>
      <c r="K299" s="9"/>
    </row>
    <row r="300" spans="1:11" x14ac:dyDescent="0.35">
      <c r="A300" s="8">
        <v>4354011</v>
      </c>
      <c r="B300" s="8"/>
      <c r="C300" s="8">
        <v>2017</v>
      </c>
      <c r="D300" s="10">
        <v>852.70938340742816</v>
      </c>
      <c r="E300" s="12">
        <v>158.472038</v>
      </c>
      <c r="F300" s="11">
        <v>393.52884593347</v>
      </c>
      <c r="G300" s="18">
        <v>0.60386861362659039</v>
      </c>
      <c r="H300" s="12">
        <v>5.3975941275900006</v>
      </c>
      <c r="I300" s="9"/>
      <c r="J300" s="9"/>
      <c r="K300" s="9"/>
    </row>
    <row r="301" spans="1:11" x14ac:dyDescent="0.35">
      <c r="A301" s="8">
        <v>4354011</v>
      </c>
      <c r="B301" s="8"/>
      <c r="C301" s="8">
        <v>2018</v>
      </c>
      <c r="D301" s="10">
        <v>751.23536546791547</v>
      </c>
      <c r="E301" s="12">
        <v>159.55879300000001</v>
      </c>
      <c r="F301" s="11">
        <v>423.62712094396409</v>
      </c>
      <c r="G301" s="18">
        <v>0.46635716847913489</v>
      </c>
      <c r="H301" s="12">
        <v>4.7082041129999999</v>
      </c>
      <c r="I301" s="9"/>
      <c r="J301" s="9"/>
      <c r="K301" s="9"/>
    </row>
    <row r="302" spans="1:11" x14ac:dyDescent="0.35">
      <c r="A302" s="8">
        <v>4354011</v>
      </c>
      <c r="B302" s="8"/>
      <c r="C302" s="8">
        <v>2019</v>
      </c>
      <c r="D302" s="10">
        <v>747.93678659754823</v>
      </c>
      <c r="E302" s="12">
        <v>178.25133299999999</v>
      </c>
      <c r="F302" s="11">
        <v>517.96465074264006</v>
      </c>
      <c r="G302" s="18">
        <v>0.28806139002263048</v>
      </c>
      <c r="H302" s="12">
        <v>4.20120837188</v>
      </c>
      <c r="I302" s="9"/>
      <c r="J302" s="9"/>
      <c r="K302" s="9"/>
    </row>
    <row r="303" spans="1:11" x14ac:dyDescent="0.35">
      <c r="A303" s="8">
        <v>4354011</v>
      </c>
      <c r="B303" s="8"/>
      <c r="C303" s="8">
        <v>2020</v>
      </c>
      <c r="D303" s="10">
        <v>735.72336968591674</v>
      </c>
      <c r="E303" s="12">
        <v>178.25133299999999</v>
      </c>
      <c r="F303" s="11">
        <v>683.95600000000002</v>
      </c>
      <c r="G303" s="18">
        <v>0.72099999999999997</v>
      </c>
      <c r="H303" s="12">
        <v>4.1274494687000001</v>
      </c>
      <c r="I303" s="9"/>
      <c r="J303" s="9"/>
      <c r="K303" s="9"/>
    </row>
    <row r="304" spans="1:11" x14ac:dyDescent="0.35">
      <c r="A304" s="8">
        <v>4354011</v>
      </c>
      <c r="B304" s="8"/>
      <c r="C304" s="8">
        <v>2021</v>
      </c>
      <c r="D304" s="10">
        <v>1961.5217444911491</v>
      </c>
      <c r="E304" s="12">
        <v>409.98189300000001</v>
      </c>
      <c r="F304" s="11">
        <v>1665.4380000000001</v>
      </c>
      <c r="G304" s="18">
        <v>0.32</v>
      </c>
      <c r="H304" s="12">
        <v>4.78441067272</v>
      </c>
      <c r="I304" s="9"/>
      <c r="J304" s="9"/>
      <c r="K304" s="9"/>
    </row>
    <row r="305" spans="1:11" x14ac:dyDescent="0.35">
      <c r="A305" s="8">
        <v>4354011</v>
      </c>
      <c r="B305" s="8"/>
      <c r="C305" s="8">
        <v>2022</v>
      </c>
      <c r="D305" s="10">
        <v>1642.1776874522723</v>
      </c>
      <c r="E305" s="12">
        <v>456.89192800000001</v>
      </c>
      <c r="F305" s="11">
        <v>1734.547</v>
      </c>
      <c r="G305" s="18">
        <v>-0.11799999999999999</v>
      </c>
      <c r="H305" s="12">
        <v>3.6974104521600006</v>
      </c>
      <c r="I305" s="9"/>
      <c r="J305" s="9"/>
      <c r="K305" s="9"/>
    </row>
    <row r="306" spans="1:11" x14ac:dyDescent="0.35">
      <c r="A306" s="8">
        <v>4354011</v>
      </c>
      <c r="B306" s="8"/>
      <c r="C306" s="8">
        <v>2023</v>
      </c>
      <c r="D306" s="10">
        <v>2286.5195934804892</v>
      </c>
      <c r="E306" s="12">
        <v>457.362933</v>
      </c>
      <c r="F306" s="11">
        <v>1667.9010000000001</v>
      </c>
      <c r="G306" s="18">
        <v>-3.7999999999999999E-2</v>
      </c>
      <c r="H306" s="12">
        <v>5.0034083137200005</v>
      </c>
      <c r="I306" s="9"/>
      <c r="J306" s="9"/>
      <c r="K306" s="9"/>
    </row>
    <row r="307" spans="1:11" x14ac:dyDescent="0.35">
      <c r="A307" s="8">
        <v>4354011</v>
      </c>
      <c r="B307" s="8"/>
      <c r="C307" s="8">
        <v>2024</v>
      </c>
      <c r="D307" s="10">
        <v>2634.3116458191221</v>
      </c>
      <c r="E307" s="12">
        <v>459.07186000000002</v>
      </c>
      <c r="F307" s="11">
        <v>1782.1690000000001</v>
      </c>
      <c r="G307" s="18">
        <v>0.20100000000000001</v>
      </c>
      <c r="H307" s="12">
        <v>5.7429296332800002</v>
      </c>
      <c r="I307" s="9"/>
      <c r="J307" s="9"/>
      <c r="K307" s="9"/>
    </row>
    <row r="308" spans="1:11" x14ac:dyDescent="0.35">
      <c r="A308" s="8">
        <v>4354011</v>
      </c>
      <c r="B308" s="8"/>
      <c r="C308" s="8">
        <v>2025</v>
      </c>
      <c r="D308" s="10">
        <v>5522.3285143695621</v>
      </c>
      <c r="E308" s="12">
        <v>466.850414</v>
      </c>
      <c r="F308" s="11">
        <v>2211.6460000000002</v>
      </c>
      <c r="G308" s="18">
        <v>0.76400000000000001</v>
      </c>
      <c r="H308" s="12">
        <v>11.953041623040001</v>
      </c>
      <c r="I308" s="9"/>
      <c r="J308" s="9"/>
      <c r="K308" s="9"/>
    </row>
    <row r="309" spans="1:11" x14ac:dyDescent="0.35">
      <c r="A309" s="8">
        <v>4354685</v>
      </c>
      <c r="B309" s="8"/>
      <c r="C309" s="8">
        <v>2015</v>
      </c>
      <c r="D309" s="10">
        <v>656.84149627933175</v>
      </c>
      <c r="E309" s="12">
        <v>231.267154</v>
      </c>
      <c r="F309" s="11">
        <v>184.96800000000002</v>
      </c>
      <c r="G309" s="12">
        <v>-2.1999999999999999E-2</v>
      </c>
      <c r="H309" s="12">
        <v>2.8401849761999998</v>
      </c>
      <c r="I309" s="9"/>
      <c r="J309" s="9"/>
      <c r="K309" s="9"/>
    </row>
    <row r="310" spans="1:11" x14ac:dyDescent="0.35">
      <c r="A310" s="8">
        <v>4354685</v>
      </c>
      <c r="B310" s="8"/>
      <c r="C310" s="8">
        <v>2016</v>
      </c>
      <c r="D310" s="10">
        <v>581.71960763328457</v>
      </c>
      <c r="E310" s="12">
        <v>263.75739199999998</v>
      </c>
      <c r="F310" s="11">
        <v>310.74900000000002</v>
      </c>
      <c r="G310" s="18">
        <v>-5.8000000000000003E-2</v>
      </c>
      <c r="H310" s="12">
        <v>2.2055101592499997</v>
      </c>
      <c r="I310" s="9"/>
      <c r="J310" s="9"/>
      <c r="K310" s="9"/>
    </row>
    <row r="311" spans="1:11" x14ac:dyDescent="0.35">
      <c r="A311" s="8">
        <v>4354685</v>
      </c>
      <c r="B311" s="8"/>
      <c r="C311" s="8">
        <v>2017</v>
      </c>
      <c r="D311" s="10">
        <v>1046.3776558936102</v>
      </c>
      <c r="E311" s="12">
        <v>297.02276599999999</v>
      </c>
      <c r="F311" s="11">
        <v>392.63600000000002</v>
      </c>
      <c r="G311" s="18">
        <v>-4.4999999999999998E-2</v>
      </c>
      <c r="H311" s="12">
        <v>3.52288704999</v>
      </c>
      <c r="I311" s="9"/>
      <c r="J311" s="9"/>
      <c r="K311" s="9"/>
    </row>
    <row r="312" spans="1:11" x14ac:dyDescent="0.35">
      <c r="A312" s="8">
        <v>4354685</v>
      </c>
      <c r="B312" s="8"/>
      <c r="C312" s="8">
        <v>2018</v>
      </c>
      <c r="D312" s="10">
        <v>364.47952925960476</v>
      </c>
      <c r="E312" s="12">
        <v>343.60369200000002</v>
      </c>
      <c r="F312" s="11">
        <v>445.21000000000004</v>
      </c>
      <c r="G312" s="18">
        <v>-9.2999999999999999E-2</v>
      </c>
      <c r="H312" s="12">
        <v>1.0607555673749998</v>
      </c>
      <c r="I312" s="9"/>
      <c r="J312" s="9"/>
      <c r="K312" s="9"/>
    </row>
    <row r="313" spans="1:11" x14ac:dyDescent="0.35">
      <c r="A313" s="8">
        <v>4354685</v>
      </c>
      <c r="B313" s="8"/>
      <c r="C313" s="8">
        <v>2019</v>
      </c>
      <c r="D313" s="10">
        <v>136.53346847503127</v>
      </c>
      <c r="E313" s="12">
        <v>413.49306200000001</v>
      </c>
      <c r="F313" s="11">
        <v>351.86099999999999</v>
      </c>
      <c r="G313" s="18">
        <v>-0.34599999999999997</v>
      </c>
      <c r="H313" s="12">
        <v>0.33019530681999998</v>
      </c>
      <c r="I313" s="9"/>
      <c r="J313" s="9"/>
      <c r="K313" s="9"/>
    </row>
    <row r="314" spans="1:11" x14ac:dyDescent="0.35">
      <c r="A314" s="8">
        <v>4354685</v>
      </c>
      <c r="B314" s="8"/>
      <c r="C314" s="8">
        <v>2020</v>
      </c>
      <c r="D314" s="10">
        <v>353.34329328326498</v>
      </c>
      <c r="E314" s="12">
        <v>477.08705900000001</v>
      </c>
      <c r="F314" s="11">
        <v>332.79200000000003</v>
      </c>
      <c r="G314" s="18">
        <v>-0.14599999999999999</v>
      </c>
      <c r="H314" s="12">
        <v>0.74062644672</v>
      </c>
      <c r="I314" s="9"/>
      <c r="J314" s="9"/>
      <c r="K314" s="9"/>
    </row>
    <row r="315" spans="1:11" x14ac:dyDescent="0.35">
      <c r="A315" s="8">
        <v>4354685</v>
      </c>
      <c r="B315" s="8"/>
      <c r="C315" s="8">
        <v>2021</v>
      </c>
      <c r="D315" s="10">
        <v>656.37304470438107</v>
      </c>
      <c r="E315" s="12">
        <v>498.73472299999997</v>
      </c>
      <c r="F315" s="11">
        <v>292.51400000000001</v>
      </c>
      <c r="G315" s="18">
        <v>-0.115</v>
      </c>
      <c r="H315" s="12">
        <v>1.3160764920400001</v>
      </c>
      <c r="I315" s="9"/>
      <c r="J315" s="9"/>
      <c r="K315" s="9"/>
    </row>
    <row r="316" spans="1:11" x14ac:dyDescent="0.35">
      <c r="A316" s="8">
        <v>4354685</v>
      </c>
      <c r="B316" s="8"/>
      <c r="C316" s="8">
        <v>2022</v>
      </c>
      <c r="D316" s="10">
        <v>938.88103184865543</v>
      </c>
      <c r="E316" s="12">
        <v>670.57070999999996</v>
      </c>
      <c r="F316" s="11">
        <v>438.17700000000002</v>
      </c>
      <c r="G316" s="18">
        <v>-4.2000000000000003E-2</v>
      </c>
      <c r="H316" s="12">
        <v>1.40012234034</v>
      </c>
      <c r="I316" s="9"/>
      <c r="J316" s="9"/>
      <c r="K316" s="9"/>
    </row>
    <row r="317" spans="1:11" x14ac:dyDescent="0.35">
      <c r="A317" s="8">
        <v>4354685</v>
      </c>
      <c r="B317" s="8"/>
      <c r="C317" s="8">
        <v>2023</v>
      </c>
      <c r="D317" s="10">
        <v>297.17384841575984</v>
      </c>
      <c r="E317" s="12">
        <v>675.89773000000002</v>
      </c>
      <c r="F317" s="11">
        <v>353.60399999999998</v>
      </c>
      <c r="G317" s="18">
        <v>-0.126</v>
      </c>
      <c r="H317" s="12">
        <v>0.43967280141000004</v>
      </c>
      <c r="I317" s="9"/>
      <c r="J317" s="9"/>
      <c r="K317" s="9"/>
    </row>
    <row r="318" spans="1:11" x14ac:dyDescent="0.35">
      <c r="A318" s="8">
        <v>4354685</v>
      </c>
      <c r="B318" s="8"/>
      <c r="C318" s="8">
        <v>2024</v>
      </c>
      <c r="D318" s="10">
        <v>131.29080506366043</v>
      </c>
      <c r="E318" s="12">
        <v>1034.891766</v>
      </c>
      <c r="F318" s="11">
        <v>382.22500000000002</v>
      </c>
      <c r="G318" s="18">
        <v>-0.13600000000000001</v>
      </c>
      <c r="H318" s="12">
        <v>0.12686428608</v>
      </c>
      <c r="I318" s="9"/>
      <c r="J318" s="9"/>
      <c r="K318" s="9"/>
    </row>
    <row r="319" spans="1:11" x14ac:dyDescent="0.35">
      <c r="A319" s="8">
        <v>4354685</v>
      </c>
      <c r="B319" s="8"/>
      <c r="C319" s="8">
        <v>2025</v>
      </c>
      <c r="D319" s="10">
        <v>293.06662059493817</v>
      </c>
      <c r="E319" s="12">
        <v>1311.5387390000001</v>
      </c>
      <c r="F319" s="11">
        <v>325.74099999999999</v>
      </c>
      <c r="G319" s="18">
        <v>-8.7999999999999995E-2</v>
      </c>
      <c r="H319" s="12">
        <v>0.22345250802000002</v>
      </c>
      <c r="I319" s="9"/>
      <c r="J319" s="9"/>
      <c r="K319" s="9"/>
    </row>
    <row r="320" spans="1:11" x14ac:dyDescent="0.35">
      <c r="A320" s="8">
        <v>4355312</v>
      </c>
      <c r="B320" s="8"/>
      <c r="C320" s="8">
        <v>2012</v>
      </c>
      <c r="D320" s="10">
        <v>117.05463885419759</v>
      </c>
      <c r="E320" s="12">
        <v>1627.8270580000001</v>
      </c>
      <c r="F320" s="11">
        <v>428.661085161568</v>
      </c>
      <c r="G320" s="12">
        <v>7.3232476999989047E-4</v>
      </c>
      <c r="H320" s="12">
        <v>7.190852264E-2</v>
      </c>
      <c r="I320" s="9"/>
      <c r="J320" s="9"/>
      <c r="K320" s="9"/>
    </row>
    <row r="321" spans="1:11" x14ac:dyDescent="0.35">
      <c r="A321" s="8">
        <v>4355312</v>
      </c>
      <c r="B321" s="8"/>
      <c r="C321" s="8">
        <v>2013</v>
      </c>
      <c r="D321" s="10">
        <v>122.65567080211457</v>
      </c>
      <c r="E321" s="12">
        <v>1627.8270580000001</v>
      </c>
      <c r="F321" s="11">
        <v>345.69412115598999</v>
      </c>
      <c r="G321" s="12">
        <v>-6.2384591668952695E-4</v>
      </c>
      <c r="H321" s="12">
        <v>7.5349325470000006E-2</v>
      </c>
      <c r="I321" s="9"/>
      <c r="J321" s="9"/>
      <c r="K321" s="9"/>
    </row>
    <row r="322" spans="1:11" x14ac:dyDescent="0.35">
      <c r="A322" s="8">
        <v>4355312</v>
      </c>
      <c r="B322" s="8"/>
      <c r="C322" s="8">
        <v>2014</v>
      </c>
      <c r="D322" s="10">
        <v>115.5656728020233</v>
      </c>
      <c r="E322" s="12">
        <v>1627.8270580000001</v>
      </c>
      <c r="F322" s="11">
        <v>292.96269426926602</v>
      </c>
      <c r="G322" s="12">
        <v>-1.4943721401308533E-2</v>
      </c>
      <c r="H322" s="12">
        <v>7.0993827159999995E-2</v>
      </c>
      <c r="I322" s="9"/>
      <c r="J322" s="9"/>
      <c r="K322" s="9"/>
    </row>
    <row r="323" spans="1:11" x14ac:dyDescent="0.35">
      <c r="A323" s="8">
        <v>4355312</v>
      </c>
      <c r="B323" s="8"/>
      <c r="C323" s="8">
        <v>2015</v>
      </c>
      <c r="D323" s="10">
        <v>43.160565893521969</v>
      </c>
      <c r="E323" s="12">
        <v>1627.8270580000001</v>
      </c>
      <c r="F323" s="11">
        <v>181.35992107847102</v>
      </c>
      <c r="G323" s="12">
        <v>-2.6943958622209503E-2</v>
      </c>
      <c r="H323" s="12">
        <v>2.6514220709999998E-2</v>
      </c>
      <c r="I323" s="9"/>
      <c r="J323" s="9"/>
      <c r="K323" s="9"/>
    </row>
    <row r="324" spans="1:11" x14ac:dyDescent="0.35">
      <c r="A324" s="8">
        <v>4355312</v>
      </c>
      <c r="B324" s="8"/>
      <c r="C324" s="8">
        <v>2016</v>
      </c>
      <c r="D324" s="10">
        <v>90.220496602165454</v>
      </c>
      <c r="E324" s="12">
        <v>1627.8270580000001</v>
      </c>
      <c r="F324" s="11">
        <v>226.59070110425</v>
      </c>
      <c r="G324" s="18">
        <v>1.2701025392390665E-2</v>
      </c>
      <c r="H324" s="12">
        <v>5.5423883120000003E-2</v>
      </c>
      <c r="I324" s="9"/>
      <c r="J324" s="9"/>
      <c r="K324" s="9"/>
    </row>
    <row r="325" spans="1:11" x14ac:dyDescent="0.35">
      <c r="A325" s="8">
        <v>4355312</v>
      </c>
      <c r="B325" s="8"/>
      <c r="C325" s="8">
        <v>2017</v>
      </c>
      <c r="D325" s="10">
        <v>71.040490549009377</v>
      </c>
      <c r="E325" s="12">
        <v>1627.8270580000001</v>
      </c>
      <c r="F325" s="11">
        <v>243.49607298575199</v>
      </c>
      <c r="G325" s="18">
        <v>-4.3634050556984778E-3</v>
      </c>
      <c r="H325" s="12">
        <v>4.3641300959999997E-2</v>
      </c>
      <c r="I325" s="9"/>
      <c r="J325" s="9"/>
      <c r="K325" s="9"/>
    </row>
    <row r="326" spans="1:11" x14ac:dyDescent="0.35">
      <c r="A326" s="8">
        <v>4355312</v>
      </c>
      <c r="B326" s="8"/>
      <c r="C326" s="8">
        <v>2018</v>
      </c>
      <c r="D326" s="10">
        <v>47.521190269919195</v>
      </c>
      <c r="E326" s="12">
        <v>1627.8270580000001</v>
      </c>
      <c r="F326" s="11">
        <v>203.31521514062396</v>
      </c>
      <c r="G326" s="18">
        <v>-4.1034900506893507E-3</v>
      </c>
      <c r="H326" s="12">
        <v>2.9193021479999998E-2</v>
      </c>
      <c r="I326" s="9"/>
      <c r="J326" s="9"/>
      <c r="K326" s="9"/>
    </row>
    <row r="327" spans="1:11" x14ac:dyDescent="0.35">
      <c r="A327" s="8">
        <v>4355312</v>
      </c>
      <c r="B327" s="8"/>
      <c r="C327" s="8">
        <v>2019</v>
      </c>
      <c r="D327" s="10">
        <v>59.330350997329148</v>
      </c>
      <c r="E327" s="12">
        <v>1627.8270580000001</v>
      </c>
      <c r="F327" s="11">
        <v>216.40791343251601</v>
      </c>
      <c r="G327" s="18">
        <v>4.088217687206264E-3</v>
      </c>
      <c r="H327" s="12">
        <v>3.6447576360000004E-2</v>
      </c>
      <c r="I327" s="9"/>
      <c r="J327" s="9"/>
      <c r="K327" s="9"/>
    </row>
    <row r="328" spans="1:11" x14ac:dyDescent="0.35">
      <c r="A328" s="8">
        <v>4355312</v>
      </c>
      <c r="B328" s="8"/>
      <c r="C328" s="8">
        <v>2020</v>
      </c>
      <c r="D328" s="10">
        <v>55.542451379551856</v>
      </c>
      <c r="E328" s="12">
        <v>1627.8270580000001</v>
      </c>
      <c r="F328" s="11">
        <v>210.46670150860203</v>
      </c>
      <c r="G328" s="18">
        <v>1.9566750702900743E-3</v>
      </c>
      <c r="H328" s="12">
        <v>3.4120609500000003E-2</v>
      </c>
      <c r="I328" s="9"/>
      <c r="J328" s="9"/>
      <c r="K328" s="9"/>
    </row>
    <row r="329" spans="1:11" x14ac:dyDescent="0.35">
      <c r="A329" s="8">
        <v>4355312</v>
      </c>
      <c r="B329" s="8"/>
      <c r="C329" s="8">
        <v>2021</v>
      </c>
      <c r="D329" s="10">
        <v>114.23204546762584</v>
      </c>
      <c r="E329" s="12">
        <v>1627.8270580000001</v>
      </c>
      <c r="F329" s="11">
        <v>201.885689228416</v>
      </c>
      <c r="G329" s="18">
        <v>-1.0159394985052048E-3</v>
      </c>
      <c r="H329" s="12">
        <v>7.0174558720000002E-2</v>
      </c>
      <c r="I329" s="9"/>
      <c r="J329" s="9"/>
      <c r="K329" s="9"/>
    </row>
    <row r="330" spans="1:11" x14ac:dyDescent="0.35">
      <c r="A330" s="8">
        <v>4355312</v>
      </c>
      <c r="B330" s="8"/>
      <c r="C330" s="8">
        <v>2022</v>
      </c>
      <c r="D330" s="10">
        <v>100.53516208606801</v>
      </c>
      <c r="E330" s="12">
        <v>1627.8270580000001</v>
      </c>
      <c r="F330" s="11">
        <v>198.522102783978</v>
      </c>
      <c r="G330" s="18">
        <v>-5.0308937142775137E-3</v>
      </c>
      <c r="H330" s="12">
        <v>6.1760345850000002E-2</v>
      </c>
      <c r="I330" s="9"/>
      <c r="J330" s="9"/>
      <c r="K330" s="9"/>
    </row>
    <row r="331" spans="1:11" x14ac:dyDescent="0.35">
      <c r="A331" s="8">
        <v>4355312</v>
      </c>
      <c r="B331" s="8"/>
      <c r="C331" s="8">
        <v>2023</v>
      </c>
      <c r="D331" s="10">
        <v>40.937071677685836</v>
      </c>
      <c r="E331" s="12">
        <v>1627.8270580000001</v>
      </c>
      <c r="F331" s="11">
        <v>215.027581091754</v>
      </c>
      <c r="G331" s="18">
        <v>-8.1358891834600814E-4</v>
      </c>
      <c r="H331" s="12">
        <v>2.5148292920000002E-2</v>
      </c>
      <c r="I331" s="9"/>
      <c r="J331" s="9"/>
      <c r="K331" s="9"/>
    </row>
    <row r="332" spans="1:11" x14ac:dyDescent="0.35">
      <c r="A332" s="8">
        <v>4355312</v>
      </c>
      <c r="B332" s="8"/>
      <c r="C332" s="8">
        <v>2024</v>
      </c>
      <c r="D332" s="10">
        <v>35.346687720955458</v>
      </c>
      <c r="E332" s="12">
        <v>1627.8270580000001</v>
      </c>
      <c r="F332" s="11">
        <v>224.50099909011601</v>
      </c>
      <c r="G332" s="18">
        <v>-6.6591429011916177E-3</v>
      </c>
      <c r="H332" s="12">
        <v>2.171403132E-2</v>
      </c>
      <c r="I332" s="9"/>
      <c r="J332" s="9"/>
      <c r="K332" s="9"/>
    </row>
    <row r="333" spans="1:11" x14ac:dyDescent="0.35">
      <c r="A333" s="8">
        <v>4355312</v>
      </c>
      <c r="B333" s="8"/>
      <c r="C333" s="8">
        <v>2025</v>
      </c>
      <c r="D333" s="10">
        <v>44.241911125426228</v>
      </c>
      <c r="E333" s="12">
        <v>1627.8270580000001</v>
      </c>
      <c r="F333" s="11">
        <v>320.14809039386</v>
      </c>
      <c r="G333" s="18">
        <v>5.4887213111654435E-3</v>
      </c>
      <c r="H333" s="12">
        <v>2.717850825E-2</v>
      </c>
      <c r="I333" s="9"/>
      <c r="J333" s="9"/>
      <c r="K333" s="9"/>
    </row>
    <row r="334" spans="1:11" x14ac:dyDescent="0.35">
      <c r="A334" s="8">
        <v>4355316</v>
      </c>
      <c r="B334" s="8"/>
      <c r="C334" s="8">
        <v>2012</v>
      </c>
      <c r="D334" s="10">
        <v>53.99035175996309</v>
      </c>
      <c r="E334" s="12">
        <v>196.13146699999999</v>
      </c>
      <c r="F334" s="11">
        <v>3.0821339318175003</v>
      </c>
      <c r="G334" s="12">
        <v>-4.0055170249050205E-2</v>
      </c>
      <c r="H334" s="12">
        <v>0.29071276528000001</v>
      </c>
      <c r="I334" s="9"/>
      <c r="J334" s="9"/>
      <c r="K334" s="9"/>
    </row>
    <row r="335" spans="1:11" x14ac:dyDescent="0.35">
      <c r="A335" s="8">
        <v>4355316</v>
      </c>
      <c r="B335" s="8"/>
      <c r="C335" s="8">
        <v>2018</v>
      </c>
      <c r="D335" s="10">
        <v>152.1575850051872</v>
      </c>
      <c r="E335" s="12">
        <v>863.52472699999998</v>
      </c>
      <c r="F335" s="11">
        <v>54.808993478924997</v>
      </c>
      <c r="G335" s="18">
        <v>-7.4771190080848583E-3</v>
      </c>
      <c r="H335" s="12">
        <v>0.17620524374999999</v>
      </c>
      <c r="I335" s="9"/>
      <c r="J335" s="9"/>
      <c r="K335" s="9"/>
    </row>
    <row r="336" spans="1:11" x14ac:dyDescent="0.35">
      <c r="A336" s="8">
        <v>4355316</v>
      </c>
      <c r="B336" s="8"/>
      <c r="C336" s="8">
        <v>2019</v>
      </c>
      <c r="D336" s="10">
        <v>262.96607147889017</v>
      </c>
      <c r="E336" s="12">
        <v>870.47885199999996</v>
      </c>
      <c r="F336" s="11">
        <v>52.150484724586001</v>
      </c>
      <c r="G336" s="18">
        <v>-3.4764053524904532E-3</v>
      </c>
      <c r="H336" s="12">
        <v>0.30209357857999997</v>
      </c>
      <c r="I336" s="9"/>
      <c r="J336" s="9"/>
      <c r="K336" s="9"/>
    </row>
    <row r="337" spans="1:11" x14ac:dyDescent="0.35">
      <c r="A337" s="8">
        <v>4355316</v>
      </c>
      <c r="B337" s="8"/>
      <c r="C337" s="8">
        <v>2020</v>
      </c>
      <c r="D337" s="10">
        <v>708.39636267403694</v>
      </c>
      <c r="E337" s="12">
        <v>878.68264599999998</v>
      </c>
      <c r="F337" s="11">
        <v>132.90001546272998</v>
      </c>
      <c r="G337" s="18">
        <v>6.979277288808157E-2</v>
      </c>
      <c r="H337" s="12">
        <v>0.80620274668999992</v>
      </c>
      <c r="I337" s="9"/>
      <c r="J337" s="9"/>
      <c r="K337" s="9"/>
    </row>
    <row r="338" spans="1:11" x14ac:dyDescent="0.35">
      <c r="A338" s="8">
        <v>4355316</v>
      </c>
      <c r="B338" s="8"/>
      <c r="C338" s="8">
        <v>2021</v>
      </c>
      <c r="D338" s="10">
        <v>979.72913184739946</v>
      </c>
      <c r="E338" s="12">
        <v>1020.7738450000001</v>
      </c>
      <c r="F338" s="11">
        <v>403.116410854104</v>
      </c>
      <c r="G338" s="18">
        <v>0.15552226687000922</v>
      </c>
      <c r="H338" s="12">
        <v>0.95979059088000007</v>
      </c>
      <c r="I338" s="9"/>
      <c r="J338" s="9"/>
      <c r="K338" s="9"/>
    </row>
    <row r="339" spans="1:11" x14ac:dyDescent="0.35">
      <c r="A339" s="8">
        <v>4355316</v>
      </c>
      <c r="B339" s="8"/>
      <c r="C339" s="8">
        <v>2022</v>
      </c>
      <c r="D339" s="10">
        <v>816.85539413529045</v>
      </c>
      <c r="E339" s="12">
        <v>1022.841993</v>
      </c>
      <c r="F339" s="11">
        <v>503.34194233911307</v>
      </c>
      <c r="G339" s="18">
        <v>0.11046667124901821</v>
      </c>
      <c r="H339" s="12">
        <v>0.79861347082500012</v>
      </c>
      <c r="I339" s="9"/>
      <c r="J339" s="9"/>
      <c r="K339" s="9"/>
    </row>
    <row r="340" spans="1:11" x14ac:dyDescent="0.35">
      <c r="A340" s="8">
        <v>4355316</v>
      </c>
      <c r="B340" s="8"/>
      <c r="C340" s="8">
        <v>2023</v>
      </c>
      <c r="D340" s="10">
        <v>660.99308607129251</v>
      </c>
      <c r="E340" s="12">
        <v>1026.3380770000001</v>
      </c>
      <c r="F340" s="11">
        <v>617.47171065739815</v>
      </c>
      <c r="G340" s="18">
        <v>9.4345643705017329E-2</v>
      </c>
      <c r="H340" s="12">
        <v>0.64417177880999998</v>
      </c>
      <c r="I340" s="9"/>
      <c r="J340" s="9"/>
      <c r="K340" s="9"/>
    </row>
    <row r="341" spans="1:11" x14ac:dyDescent="0.35">
      <c r="A341" s="8">
        <v>4355316</v>
      </c>
      <c r="B341" s="8"/>
      <c r="C341" s="8">
        <v>2024</v>
      </c>
      <c r="D341" s="10">
        <v>1012.1788292320288</v>
      </c>
      <c r="E341" s="12">
        <v>1139.776844</v>
      </c>
      <c r="F341" s="11">
        <v>813.10724624640011</v>
      </c>
      <c r="G341" s="18">
        <v>0.13589069468641757</v>
      </c>
      <c r="H341" s="12">
        <v>0.88805000256000011</v>
      </c>
      <c r="I341" s="9"/>
      <c r="J341" s="9"/>
      <c r="K341" s="9"/>
    </row>
    <row r="342" spans="1:11" x14ac:dyDescent="0.35">
      <c r="A342" s="8">
        <v>4355316</v>
      </c>
      <c r="B342" s="8"/>
      <c r="C342" s="8">
        <v>2025</v>
      </c>
      <c r="D342" s="10">
        <v>2285.8768264682899</v>
      </c>
      <c r="E342" s="12">
        <v>1142.3288460000001</v>
      </c>
      <c r="F342" s="11">
        <v>1172.7588047784002</v>
      </c>
      <c r="G342" s="18">
        <v>0.26637888720916536</v>
      </c>
      <c r="H342" s="12">
        <v>2.0010672359999999</v>
      </c>
      <c r="I342" s="9"/>
      <c r="J342" s="9"/>
      <c r="K342" s="9"/>
    </row>
    <row r="343" spans="1:11" x14ac:dyDescent="0.35">
      <c r="A343" s="8">
        <v>4355327</v>
      </c>
      <c r="B343" s="8"/>
      <c r="C343" s="8">
        <v>2014</v>
      </c>
      <c r="D343" s="10">
        <v>1.8155876034961249</v>
      </c>
      <c r="E343" s="12">
        <v>31.696269999999998</v>
      </c>
      <c r="F343" s="11">
        <v>12.166083041216002</v>
      </c>
      <c r="G343" s="18">
        <v>-4.2677041936378585E-2</v>
      </c>
      <c r="H343" s="12">
        <v>5.7280798680000002E-2</v>
      </c>
      <c r="I343" s="9"/>
      <c r="J343" s="9"/>
      <c r="K343" s="9"/>
    </row>
    <row r="344" spans="1:11" x14ac:dyDescent="0.35">
      <c r="A344" s="8">
        <v>4355327</v>
      </c>
      <c r="B344" s="8"/>
      <c r="C344" s="8">
        <v>2015</v>
      </c>
      <c r="D344" s="10">
        <v>7.9735505080972917</v>
      </c>
      <c r="E344" s="12">
        <v>45.620336999999999</v>
      </c>
      <c r="F344" s="11">
        <v>11.096956826928</v>
      </c>
      <c r="G344" s="18">
        <v>-1.893935051891716E-2</v>
      </c>
      <c r="H344" s="12">
        <v>0.17478061391999999</v>
      </c>
      <c r="I344" s="9"/>
      <c r="J344" s="9"/>
      <c r="K344" s="9"/>
    </row>
    <row r="345" spans="1:11" x14ac:dyDescent="0.35">
      <c r="A345" s="8">
        <v>4355327</v>
      </c>
      <c r="B345" s="8"/>
      <c r="C345" s="8">
        <v>2016</v>
      </c>
      <c r="D345" s="10">
        <v>8.243546169</v>
      </c>
      <c r="E345" s="12">
        <v>45.620336999999999</v>
      </c>
      <c r="F345" s="11">
        <v>11.824111726703999</v>
      </c>
      <c r="G345" s="18">
        <v>-9.0491359302530376E-3</v>
      </c>
      <c r="H345" s="12">
        <v>0.18077952124999999</v>
      </c>
      <c r="I345" s="9"/>
      <c r="J345" s="9"/>
      <c r="K345" s="9"/>
    </row>
    <row r="346" spans="1:11" x14ac:dyDescent="0.35">
      <c r="A346" s="8">
        <v>4355327</v>
      </c>
      <c r="B346" s="8"/>
      <c r="C346" s="8">
        <v>2017</v>
      </c>
      <c r="D346" s="10">
        <v>12.038728827350907</v>
      </c>
      <c r="E346" s="12">
        <v>71.784768</v>
      </c>
      <c r="F346" s="11">
        <v>14.144230761309998</v>
      </c>
      <c r="G346" s="18">
        <v>-1.6278871484157124E-2</v>
      </c>
      <c r="H346" s="12">
        <v>0.18747070775999999</v>
      </c>
      <c r="I346" s="9"/>
      <c r="J346" s="9"/>
      <c r="K346" s="9"/>
    </row>
    <row r="347" spans="1:11" x14ac:dyDescent="0.35">
      <c r="A347" s="8">
        <v>4355327</v>
      </c>
      <c r="B347" s="8"/>
      <c r="C347" s="8">
        <v>2018</v>
      </c>
      <c r="D347" s="10">
        <v>5.3057584542968472</v>
      </c>
      <c r="E347" s="12">
        <v>80.003100000000003</v>
      </c>
      <c r="F347" s="11">
        <v>6.0910110772840005</v>
      </c>
      <c r="G347" s="18">
        <v>1.7166521539109258E-2</v>
      </c>
      <c r="H347" s="12">
        <v>7.0482097499999993E-2</v>
      </c>
      <c r="I347" s="9"/>
      <c r="J347" s="9"/>
      <c r="K347" s="9"/>
    </row>
    <row r="348" spans="1:11" x14ac:dyDescent="0.35">
      <c r="A348" s="8">
        <v>4355327</v>
      </c>
      <c r="B348" s="8"/>
      <c r="C348" s="8">
        <v>2019</v>
      </c>
      <c r="D348" s="10">
        <v>5.9279043101794739</v>
      </c>
      <c r="E348" s="12">
        <v>102.312628</v>
      </c>
      <c r="F348" s="11">
        <v>4.9316487167160004</v>
      </c>
      <c r="G348" s="18">
        <v>-1.208649188906142E-2</v>
      </c>
      <c r="H348" s="12">
        <v>6.322888854E-2</v>
      </c>
      <c r="I348" s="9"/>
      <c r="J348" s="9"/>
      <c r="K348" s="9"/>
    </row>
    <row r="349" spans="1:11" x14ac:dyDescent="0.35">
      <c r="A349" s="8">
        <v>4355327</v>
      </c>
      <c r="B349" s="8"/>
      <c r="C349" s="8">
        <v>2020</v>
      </c>
      <c r="D349" s="10">
        <v>66.615474495794317</v>
      </c>
      <c r="E349" s="12">
        <v>140.10564099999999</v>
      </c>
      <c r="F349" s="11">
        <v>9.6881091638240004</v>
      </c>
      <c r="G349" s="18">
        <v>-2.2414484007586832E-3</v>
      </c>
      <c r="H349" s="12">
        <v>0.54775497622000002</v>
      </c>
      <c r="I349" s="9"/>
      <c r="J349" s="9"/>
      <c r="K349" s="9"/>
    </row>
    <row r="350" spans="1:11" x14ac:dyDescent="0.35">
      <c r="A350" s="8">
        <v>4355327</v>
      </c>
      <c r="B350" s="8"/>
      <c r="C350" s="8">
        <v>2021</v>
      </c>
      <c r="D350" s="10">
        <v>44.016775367821296</v>
      </c>
      <c r="E350" s="12">
        <v>184.22324599999999</v>
      </c>
      <c r="F350" s="11">
        <v>15.349317905597999</v>
      </c>
      <c r="G350" s="12">
        <v>-2.2494689711406043E-2</v>
      </c>
      <c r="H350" s="12">
        <v>0.23994764772000002</v>
      </c>
      <c r="I350" s="9"/>
      <c r="J350" s="9"/>
      <c r="K350" s="9"/>
    </row>
    <row r="351" spans="1:11" x14ac:dyDescent="0.35">
      <c r="A351" s="8">
        <v>4355327</v>
      </c>
      <c r="B351" s="8"/>
      <c r="C351" s="8">
        <v>2022</v>
      </c>
      <c r="D351" s="10">
        <v>22.239246047408628</v>
      </c>
      <c r="E351" s="12">
        <v>224.30172300000001</v>
      </c>
      <c r="F351" s="11">
        <v>15.166056564948001</v>
      </c>
      <c r="G351" s="12">
        <v>-8.7505482308162432E-3</v>
      </c>
      <c r="H351" s="12">
        <v>0.10874736624</v>
      </c>
      <c r="I351" s="9"/>
      <c r="J351" s="9"/>
      <c r="K351" s="9"/>
    </row>
    <row r="352" spans="1:11" x14ac:dyDescent="0.35">
      <c r="A352" s="8">
        <v>4355327</v>
      </c>
      <c r="B352" s="8"/>
      <c r="C352" s="8">
        <v>2023</v>
      </c>
      <c r="D352" s="10">
        <v>19.052149860691177</v>
      </c>
      <c r="E352" s="12">
        <v>253.80839599999999</v>
      </c>
      <c r="F352" s="11">
        <v>16.767413930937</v>
      </c>
      <c r="G352" s="12">
        <v>-4.5897906471037671E-3</v>
      </c>
      <c r="H352" s="12">
        <v>7.8391274670000011E-2</v>
      </c>
      <c r="I352" s="9"/>
      <c r="J352" s="9"/>
      <c r="K352" s="9"/>
    </row>
    <row r="353" spans="1:11" x14ac:dyDescent="0.35">
      <c r="A353" s="8">
        <v>4355327</v>
      </c>
      <c r="B353" s="8"/>
      <c r="C353" s="8">
        <v>2024</v>
      </c>
      <c r="D353" s="10">
        <v>22.029937074437861</v>
      </c>
      <c r="E353" s="12">
        <v>328.48747900000001</v>
      </c>
      <c r="F353" s="11">
        <v>24.611551836819999</v>
      </c>
      <c r="G353" s="12">
        <v>-8.421276337624772E-3</v>
      </c>
      <c r="H353" s="12">
        <v>8.6639024640000006E-2</v>
      </c>
      <c r="I353" s="9"/>
      <c r="J353" s="9"/>
      <c r="K353" s="9"/>
    </row>
    <row r="354" spans="1:11" x14ac:dyDescent="0.35">
      <c r="A354" s="8">
        <v>4355327</v>
      </c>
      <c r="B354" s="8"/>
      <c r="C354" s="8">
        <v>2025</v>
      </c>
      <c r="D354" s="10">
        <v>199.88107841588592</v>
      </c>
      <c r="E354" s="12">
        <v>434.888012</v>
      </c>
      <c r="F354" s="11">
        <v>54.166032547065008</v>
      </c>
      <c r="G354" s="12">
        <v>-1.6966957046264781E-2</v>
      </c>
      <c r="H354" s="12">
        <v>0.52027748136000007</v>
      </c>
      <c r="I354" s="9"/>
      <c r="J354" s="9"/>
      <c r="K354" s="9"/>
    </row>
    <row r="355" spans="1:11" x14ac:dyDescent="0.35">
      <c r="A355" s="8">
        <v>4356041</v>
      </c>
      <c r="B355" s="8"/>
      <c r="C355" s="8">
        <v>2012</v>
      </c>
      <c r="D355" s="10">
        <v>4.7906797413407931</v>
      </c>
      <c r="E355" s="12">
        <v>84.213306000000003</v>
      </c>
      <c r="F355" s="11">
        <v>6.3480942724737552</v>
      </c>
      <c r="G355" s="12">
        <v>-1.7432546858096726E-2</v>
      </c>
      <c r="H355" s="12">
        <v>5.6887444145000007E-2</v>
      </c>
      <c r="I355" s="9"/>
      <c r="J355" s="9"/>
      <c r="K355" s="9"/>
    </row>
    <row r="356" spans="1:11" x14ac:dyDescent="0.35">
      <c r="A356" s="8">
        <v>4356041</v>
      </c>
      <c r="B356" s="8"/>
      <c r="C356" s="8">
        <v>2013</v>
      </c>
      <c r="D356" s="10">
        <v>13.752914535922129</v>
      </c>
      <c r="E356" s="12">
        <v>138.365781</v>
      </c>
      <c r="F356" s="11">
        <v>7.8752422757828713</v>
      </c>
      <c r="G356" s="18">
        <v>-1.0952027121562912E-2</v>
      </c>
      <c r="H356" s="12">
        <v>9.9395344979999994E-2</v>
      </c>
      <c r="I356" s="9"/>
      <c r="J356" s="9"/>
      <c r="K356" s="9"/>
    </row>
    <row r="357" spans="1:11" x14ac:dyDescent="0.35">
      <c r="A357" s="8">
        <v>4356041</v>
      </c>
      <c r="B357" s="8"/>
      <c r="C357" s="8">
        <v>2014</v>
      </c>
      <c r="D357" s="10">
        <v>9.4389680013687656</v>
      </c>
      <c r="E357" s="12">
        <v>223.169714</v>
      </c>
      <c r="F357" s="11">
        <v>7.4102922130309326</v>
      </c>
      <c r="G357" s="18">
        <v>-1.8122498471716476E-2</v>
      </c>
      <c r="H357" s="12">
        <v>4.9092184196999997E-2</v>
      </c>
      <c r="I357" s="9"/>
      <c r="J357" s="9"/>
      <c r="K357" s="9"/>
    </row>
    <row r="358" spans="1:11" x14ac:dyDescent="0.35">
      <c r="A358" s="8">
        <v>4356041</v>
      </c>
      <c r="B358" s="8"/>
      <c r="C358" s="8">
        <v>2015</v>
      </c>
      <c r="D358" s="10">
        <v>6.5660621618212458</v>
      </c>
      <c r="E358" s="12">
        <v>285.86577</v>
      </c>
      <c r="F358" s="11">
        <v>5.2781831587443193</v>
      </c>
      <c r="G358" s="18">
        <v>-1.9869237643069141E-2</v>
      </c>
      <c r="H358" s="12">
        <v>2.3595339919999996E-2</v>
      </c>
      <c r="I358" s="9"/>
      <c r="J358" s="9"/>
      <c r="K358" s="9"/>
    </row>
    <row r="359" spans="1:11" x14ac:dyDescent="0.35">
      <c r="A359" s="8">
        <v>4356041</v>
      </c>
      <c r="B359" s="8"/>
      <c r="C359" s="8">
        <v>2016</v>
      </c>
      <c r="D359" s="10">
        <v>29.230897976605288</v>
      </c>
      <c r="E359" s="12">
        <v>450.94645500000001</v>
      </c>
      <c r="F359" s="11">
        <v>7.4944994572784704</v>
      </c>
      <c r="G359" s="18">
        <v>-6.7753103165129735E-3</v>
      </c>
      <c r="H359" s="12">
        <v>6.4821216914999993E-2</v>
      </c>
      <c r="I359" s="9"/>
      <c r="J359" s="9"/>
      <c r="K359" s="9"/>
    </row>
    <row r="360" spans="1:11" x14ac:dyDescent="0.35">
      <c r="A360" s="8">
        <v>4356041</v>
      </c>
      <c r="B360" s="8"/>
      <c r="C360" s="8">
        <v>2017</v>
      </c>
      <c r="D360" s="10">
        <v>56.937336025146784</v>
      </c>
      <c r="E360" s="12">
        <v>635.85038599999996</v>
      </c>
      <c r="F360" s="11">
        <v>17.764254910508836</v>
      </c>
      <c r="G360" s="18">
        <v>-6.4430085674421211E-3</v>
      </c>
      <c r="H360" s="12">
        <v>8.9545178046250007E-2</v>
      </c>
      <c r="I360" s="9"/>
      <c r="J360" s="9"/>
      <c r="K360" s="9"/>
    </row>
    <row r="361" spans="1:11" x14ac:dyDescent="0.35">
      <c r="A361" s="8">
        <v>4356041</v>
      </c>
      <c r="B361" s="8"/>
      <c r="C361" s="8">
        <v>2018</v>
      </c>
      <c r="D361" s="10">
        <v>58.418186556066956</v>
      </c>
      <c r="E361" s="12">
        <v>881.45179499999995</v>
      </c>
      <c r="F361" s="11">
        <v>32.39584890280296</v>
      </c>
      <c r="G361" s="18">
        <v>-5.3407416783456214E-3</v>
      </c>
      <c r="H361" s="12">
        <v>6.6274964652000001E-2</v>
      </c>
      <c r="I361" s="9"/>
      <c r="J361" s="9"/>
      <c r="K361" s="9"/>
    </row>
    <row r="362" spans="1:11" x14ac:dyDescent="0.35">
      <c r="A362" s="8">
        <v>4356041</v>
      </c>
      <c r="B362" s="8"/>
      <c r="C362" s="8">
        <v>2019</v>
      </c>
      <c r="D362" s="10">
        <v>38.663460642962512</v>
      </c>
      <c r="E362" s="12">
        <v>1297.45982</v>
      </c>
      <c r="F362" s="11">
        <v>34.855674468756746</v>
      </c>
      <c r="G362" s="18">
        <v>-3.8297905975980089E-3</v>
      </c>
      <c r="H362" s="12">
        <v>2.9799351044999998E-2</v>
      </c>
      <c r="I362" s="9"/>
      <c r="J362" s="9"/>
      <c r="K362" s="9"/>
    </row>
    <row r="363" spans="1:11" x14ac:dyDescent="0.35">
      <c r="A363" s="8">
        <v>4356041</v>
      </c>
      <c r="B363" s="8"/>
      <c r="C363" s="8">
        <v>2020</v>
      </c>
      <c r="D363" s="10">
        <v>85.964182121248697</v>
      </c>
      <c r="E363" s="12">
        <v>1430.991035</v>
      </c>
      <c r="F363" s="11">
        <v>27.997206602857883</v>
      </c>
      <c r="G363" s="18">
        <v>-2.5679432554732294E-3</v>
      </c>
      <c r="H363" s="12">
        <v>6.0073180067999998E-2</v>
      </c>
      <c r="I363" s="9"/>
      <c r="J363" s="9"/>
      <c r="K363" s="9"/>
    </row>
    <row r="364" spans="1:11" x14ac:dyDescent="0.35">
      <c r="A364" s="8">
        <v>4356041</v>
      </c>
      <c r="B364" s="8"/>
      <c r="C364" s="8">
        <v>2021</v>
      </c>
      <c r="D364" s="10">
        <v>99.482413684341552</v>
      </c>
      <c r="E364" s="12">
        <v>1688.95982</v>
      </c>
      <c r="F364" s="11">
        <v>36.865681354777209</v>
      </c>
      <c r="G364" s="12">
        <v>-2.7514575915555521E-3</v>
      </c>
      <c r="H364" s="12">
        <v>5.8901586944999994E-2</v>
      </c>
      <c r="I364" s="9"/>
      <c r="J364" s="9"/>
      <c r="K364" s="9"/>
    </row>
    <row r="365" spans="1:11" x14ac:dyDescent="0.35">
      <c r="A365" s="8">
        <v>4356041</v>
      </c>
      <c r="B365" s="8"/>
      <c r="C365" s="8">
        <v>2022</v>
      </c>
      <c r="D365" s="10">
        <v>46.805320635502568</v>
      </c>
      <c r="E365" s="12">
        <v>1688.95982</v>
      </c>
      <c r="F365" s="11">
        <v>30.430195796051802</v>
      </c>
      <c r="G365" s="12">
        <v>-2.4732151758923397E-3</v>
      </c>
      <c r="H365" s="12">
        <v>2.7712512802999998E-2</v>
      </c>
      <c r="I365" s="9"/>
      <c r="J365" s="9"/>
      <c r="K365" s="9"/>
    </row>
    <row r="366" spans="1:11" x14ac:dyDescent="0.35">
      <c r="A366" s="8">
        <v>4356041</v>
      </c>
      <c r="B366" s="8"/>
      <c r="C366" s="8">
        <v>2023</v>
      </c>
      <c r="D366" s="10">
        <v>48.900937469970977</v>
      </c>
      <c r="E366" s="12">
        <v>1828.1499040000001</v>
      </c>
      <c r="F366" s="11">
        <v>35.594088505100984</v>
      </c>
      <c r="G366" s="12">
        <v>-2.4872885635845495E-3</v>
      </c>
      <c r="H366" s="12">
        <v>2.6748866361E-2</v>
      </c>
      <c r="I366" s="9"/>
      <c r="J366" s="9"/>
      <c r="K366" s="9"/>
    </row>
    <row r="367" spans="1:11" x14ac:dyDescent="0.35">
      <c r="A367" s="8">
        <v>4356041</v>
      </c>
      <c r="B367" s="8"/>
      <c r="C367" s="8">
        <v>2024</v>
      </c>
      <c r="D367" s="10">
        <v>118.32652433280492</v>
      </c>
      <c r="E367" s="12">
        <v>2172.7742039999998</v>
      </c>
      <c r="F367" s="11">
        <v>49.064852193305683</v>
      </c>
      <c r="G367" s="12">
        <v>-2.5559394856409061E-3</v>
      </c>
      <c r="H367" s="12">
        <v>5.4458730278999994E-2</v>
      </c>
      <c r="I367" s="9"/>
      <c r="J367" s="9"/>
      <c r="K367" s="9"/>
    </row>
    <row r="368" spans="1:11" x14ac:dyDescent="0.35">
      <c r="A368" s="8">
        <v>4356041</v>
      </c>
      <c r="B368" s="8"/>
      <c r="C368" s="8">
        <v>2025</v>
      </c>
      <c r="D368" s="10">
        <v>129.92007227319746</v>
      </c>
      <c r="E368" s="12">
        <v>2574.1496990000001</v>
      </c>
      <c r="F368" s="11">
        <v>68.519777917728888</v>
      </c>
      <c r="G368" s="12">
        <v>-2.6380952862757349E-3</v>
      </c>
      <c r="H368" s="12">
        <v>5.0471063249999996E-2</v>
      </c>
      <c r="I368" s="9"/>
      <c r="J368" s="9"/>
      <c r="K368" s="9"/>
    </row>
    <row r="369" spans="1:11" x14ac:dyDescent="0.35">
      <c r="A369" s="8">
        <v>4360334</v>
      </c>
      <c r="B369" s="8"/>
      <c r="C369" s="8">
        <v>2015</v>
      </c>
      <c r="D369" s="10">
        <v>9.7246816809790317</v>
      </c>
      <c r="E369" s="12">
        <v>207.835612</v>
      </c>
      <c r="F369" s="11">
        <v>4.802916073301013</v>
      </c>
      <c r="G369" s="18">
        <v>-5.8576332069539237E-3</v>
      </c>
      <c r="H369" s="12">
        <v>3.6412627900000001E-2</v>
      </c>
      <c r="I369" s="9"/>
      <c r="J369" s="9"/>
      <c r="K369" s="9"/>
    </row>
    <row r="370" spans="1:11" x14ac:dyDescent="0.35">
      <c r="A370" s="8">
        <v>4360334</v>
      </c>
      <c r="B370" s="8"/>
      <c r="C370" s="8">
        <v>2016</v>
      </c>
      <c r="D370" s="10">
        <v>28.206785559412598</v>
      </c>
      <c r="E370" s="12">
        <v>285.40470299999998</v>
      </c>
      <c r="F370" s="11">
        <v>7.4844630668044179</v>
      </c>
      <c r="G370" s="18">
        <v>-4.3706193505193454E-3</v>
      </c>
      <c r="H370" s="12">
        <v>8.6774170199999986E-2</v>
      </c>
      <c r="I370" s="9"/>
      <c r="J370" s="9"/>
      <c r="K370" s="9"/>
    </row>
    <row r="371" spans="1:11" x14ac:dyDescent="0.35">
      <c r="A371" s="8">
        <v>4360334</v>
      </c>
      <c r="B371" s="8"/>
      <c r="C371" s="8">
        <v>2017</v>
      </c>
      <c r="D371" s="10">
        <v>19.016671644697801</v>
      </c>
      <c r="E371" s="12">
        <v>364.73470099999997</v>
      </c>
      <c r="F371" s="11">
        <v>11.926253542315113</v>
      </c>
      <c r="G371" s="18">
        <v>-9.0491359302530376E-3</v>
      </c>
      <c r="H371" s="12">
        <v>4.3743165144E-2</v>
      </c>
      <c r="I371" s="9"/>
      <c r="J371" s="9"/>
      <c r="K371" s="9"/>
    </row>
    <row r="372" spans="1:11" x14ac:dyDescent="0.35">
      <c r="A372" s="8">
        <v>4360334</v>
      </c>
      <c r="B372" s="8"/>
      <c r="C372" s="8">
        <v>2018</v>
      </c>
      <c r="D372" s="10">
        <v>14.422497889478453</v>
      </c>
      <c r="E372" s="12">
        <v>443.73470099999997</v>
      </c>
      <c r="F372" s="11">
        <v>13.52328771432045</v>
      </c>
      <c r="G372" s="18">
        <v>-3.8759217819421721E-3</v>
      </c>
      <c r="H372" s="12">
        <v>2.6782492229024998E-2</v>
      </c>
      <c r="I372" s="9"/>
      <c r="J372" s="9"/>
      <c r="K372" s="9"/>
    </row>
    <row r="373" spans="1:11" x14ac:dyDescent="0.35">
      <c r="A373" s="8">
        <v>4360334</v>
      </c>
      <c r="B373" s="8"/>
      <c r="C373" s="8">
        <v>2019</v>
      </c>
      <c r="D373" s="10">
        <v>23.860446966639785</v>
      </c>
      <c r="E373" s="12">
        <v>585.55085099999997</v>
      </c>
      <c r="F373" s="11">
        <v>15.710868038094882</v>
      </c>
      <c r="G373" s="18">
        <v>-3.5763586539810954E-3</v>
      </c>
      <c r="H373" s="12">
        <v>3.7937333124000001E-2</v>
      </c>
      <c r="I373" s="9"/>
      <c r="J373" s="9"/>
      <c r="K373" s="9"/>
    </row>
    <row r="374" spans="1:11" x14ac:dyDescent="0.35">
      <c r="A374" s="8">
        <v>4360334</v>
      </c>
      <c r="B374" s="8"/>
      <c r="C374" s="8">
        <v>2020</v>
      </c>
      <c r="D374" s="10">
        <v>52.820575800807717</v>
      </c>
      <c r="E374" s="12">
        <v>628.94370800000002</v>
      </c>
      <c r="F374" s="11">
        <v>15.685523338930945</v>
      </c>
      <c r="G374" s="18">
        <v>-3.3573588580726168E-3</v>
      </c>
      <c r="H374" s="12">
        <v>7.4062644672000008E-2</v>
      </c>
      <c r="I374" s="9"/>
      <c r="J374" s="9"/>
      <c r="K374" s="9"/>
    </row>
    <row r="375" spans="1:11" x14ac:dyDescent="0.35">
      <c r="A375" s="8">
        <v>4360334</v>
      </c>
      <c r="B375" s="8"/>
      <c r="C375" s="8">
        <v>2021</v>
      </c>
      <c r="D375" s="10">
        <v>151.58506096321608</v>
      </c>
      <c r="E375" s="12">
        <v>849.26417300000003</v>
      </c>
      <c r="F375" s="11">
        <v>24.863583750900421</v>
      </c>
      <c r="G375" s="12">
        <v>-2.9885978676782443E-3</v>
      </c>
      <c r="H375" s="12">
        <v>0.17450738016</v>
      </c>
      <c r="I375" s="9"/>
      <c r="J375" s="9"/>
      <c r="K375" s="9"/>
    </row>
    <row r="376" spans="1:11" x14ac:dyDescent="0.35">
      <c r="A376" s="8">
        <v>4360334</v>
      </c>
      <c r="B376" s="8"/>
      <c r="C376" s="8">
        <v>2022</v>
      </c>
      <c r="D376" s="10">
        <v>90.163083360050734</v>
      </c>
      <c r="E376" s="12">
        <v>977.25564599999996</v>
      </c>
      <c r="F376" s="11">
        <v>37.907194446888383</v>
      </c>
      <c r="G376" s="12">
        <v>-5.0794460638658809E-3</v>
      </c>
      <c r="H376" s="12">
        <v>9.1755590265000006E-2</v>
      </c>
      <c r="I376" s="9"/>
      <c r="J376" s="9"/>
      <c r="K376" s="9"/>
    </row>
    <row r="377" spans="1:11" x14ac:dyDescent="0.35">
      <c r="A377" s="8">
        <v>4360334</v>
      </c>
      <c r="B377" s="8"/>
      <c r="C377" s="8">
        <v>2023</v>
      </c>
      <c r="D377" s="10">
        <v>62.832208507581548</v>
      </c>
      <c r="E377" s="12">
        <v>1075.183955</v>
      </c>
      <c r="F377" s="11">
        <v>38.265858883080007</v>
      </c>
      <c r="G377" s="12">
        <v>-6.0580718521035526E-3</v>
      </c>
      <c r="H377" s="12">
        <v>5.7259713672000008E-2</v>
      </c>
      <c r="I377" s="9"/>
      <c r="J377" s="9"/>
      <c r="K377" s="9"/>
    </row>
    <row r="378" spans="1:11" x14ac:dyDescent="0.35">
      <c r="A378" s="8">
        <v>4360334</v>
      </c>
      <c r="B378" s="8"/>
      <c r="C378" s="8">
        <v>2024</v>
      </c>
      <c r="D378" s="10">
        <v>26.344236564385234</v>
      </c>
      <c r="E378" s="12">
        <v>1251.3185590000001</v>
      </c>
      <c r="F378" s="11">
        <v>39.711114891421119</v>
      </c>
      <c r="G378" s="12">
        <v>-5.9011594034191284E-3</v>
      </c>
      <c r="H378" s="12">
        <v>2.1040905984000002E-2</v>
      </c>
      <c r="I378" s="9"/>
      <c r="J378" s="9"/>
      <c r="K378" s="9"/>
    </row>
    <row r="379" spans="1:11" x14ac:dyDescent="0.35">
      <c r="A379" s="8">
        <v>4360334</v>
      </c>
      <c r="B379" s="8"/>
      <c r="C379" s="8">
        <v>2025</v>
      </c>
      <c r="D379" s="10">
        <v>22.921283512819635</v>
      </c>
      <c r="E379" s="12">
        <v>1472.9495979999999</v>
      </c>
      <c r="F379" s="11">
        <v>36.928919573238169</v>
      </c>
      <c r="G379" s="12">
        <v>-4.5345334125671856E-3</v>
      </c>
      <c r="H379" s="12">
        <v>1.0672358592000001E-2</v>
      </c>
      <c r="I379" s="9"/>
      <c r="J379" s="9"/>
      <c r="K379" s="9"/>
    </row>
    <row r="380" spans="1:11" x14ac:dyDescent="0.35">
      <c r="A380" s="8">
        <v>4379789</v>
      </c>
      <c r="B380" s="8"/>
      <c r="C380" s="8">
        <v>2013</v>
      </c>
      <c r="D380" s="10">
        <v>862.36532854815209</v>
      </c>
      <c r="E380" s="12">
        <v>779.77180299999998</v>
      </c>
      <c r="F380" s="11">
        <v>898.79346029620001</v>
      </c>
      <c r="G380" s="18">
        <v>0.24995426395360376</v>
      </c>
      <c r="H380" s="12">
        <v>1.1059200765339672</v>
      </c>
      <c r="I380" s="9"/>
      <c r="J380" s="9"/>
      <c r="K380" s="9"/>
    </row>
    <row r="381" spans="1:11" x14ac:dyDescent="0.35">
      <c r="A381" s="8">
        <v>4379789</v>
      </c>
      <c r="B381" s="8"/>
      <c r="C381" s="8">
        <v>2014</v>
      </c>
      <c r="D381" s="10">
        <v>1754.8326955207447</v>
      </c>
      <c r="E381" s="12">
        <v>953.48947199999998</v>
      </c>
      <c r="F381" s="11">
        <v>1297.4468224842001</v>
      </c>
      <c r="G381" s="18">
        <v>0.15829275262126816</v>
      </c>
      <c r="H381" s="12">
        <v>1.8404317678206823</v>
      </c>
      <c r="I381" s="9"/>
      <c r="J381" s="9"/>
      <c r="K381" s="9"/>
    </row>
    <row r="382" spans="1:11" x14ac:dyDescent="0.35">
      <c r="A382" s="8">
        <v>4379789</v>
      </c>
      <c r="B382" s="8"/>
      <c r="C382" s="8">
        <v>2015</v>
      </c>
      <c r="D382" s="10">
        <v>1353.7650047041907</v>
      </c>
      <c r="E382" s="12">
        <v>971.84189800000001</v>
      </c>
      <c r="F382" s="11">
        <v>969.04949876879994</v>
      </c>
      <c r="G382" s="18">
        <v>3.5373793629742883E-2</v>
      </c>
      <c r="H382" s="12">
        <v>1.3929889304866949</v>
      </c>
      <c r="I382" s="9"/>
      <c r="J382" s="9"/>
      <c r="K382" s="9"/>
    </row>
    <row r="383" spans="1:11" x14ac:dyDescent="0.35">
      <c r="A383" s="8">
        <v>4379789</v>
      </c>
      <c r="B383" s="8"/>
      <c r="C383" s="8">
        <v>2016</v>
      </c>
      <c r="D383" s="10">
        <v>1710.6932675463024</v>
      </c>
      <c r="E383" s="12">
        <v>985.48780599999998</v>
      </c>
      <c r="F383" s="11">
        <v>1201.0282545942</v>
      </c>
      <c r="G383" s="18">
        <v>0.14763234891585278</v>
      </c>
      <c r="H383" s="12">
        <v>1.7454704768957681</v>
      </c>
      <c r="I383" s="9"/>
      <c r="J383" s="9"/>
      <c r="K383" s="9"/>
    </row>
    <row r="384" spans="1:11" x14ac:dyDescent="0.35">
      <c r="A384" s="8">
        <v>4379789</v>
      </c>
      <c r="B384" s="8"/>
      <c r="C384" s="8">
        <v>2017</v>
      </c>
      <c r="D384" s="10">
        <v>2772.7714032564827</v>
      </c>
      <c r="E384" s="12">
        <v>2255.470069</v>
      </c>
      <c r="F384" s="11">
        <v>1939.4679049967999</v>
      </c>
      <c r="G384" s="18">
        <v>-0.16595985435984209</v>
      </c>
      <c r="H384" s="12">
        <v>1.2293541122960638</v>
      </c>
      <c r="I384" s="9"/>
      <c r="J384" s="9"/>
      <c r="K384" s="9"/>
    </row>
    <row r="385" spans="1:11" x14ac:dyDescent="0.35">
      <c r="A385" s="8">
        <v>4379789</v>
      </c>
      <c r="B385" s="8"/>
      <c r="C385" s="8">
        <v>2018</v>
      </c>
      <c r="D385" s="10">
        <v>1578.6612464733128</v>
      </c>
      <c r="E385" s="12">
        <v>2266.260491</v>
      </c>
      <c r="F385" s="11">
        <v>1718.5236673335999</v>
      </c>
      <c r="G385" s="18">
        <v>-8.3893574369648963E-2</v>
      </c>
      <c r="H385" s="12">
        <v>0.69646208387999986</v>
      </c>
      <c r="I385" s="9"/>
      <c r="J385" s="9"/>
      <c r="K385" s="9"/>
    </row>
    <row r="386" spans="1:11" x14ac:dyDescent="0.35">
      <c r="A386" s="8">
        <v>4379789</v>
      </c>
      <c r="B386" s="8"/>
      <c r="C386" s="8">
        <v>2019</v>
      </c>
      <c r="D386" s="10">
        <v>6848.3816690005988</v>
      </c>
      <c r="E386" s="12">
        <v>2670.0292519999998</v>
      </c>
      <c r="F386" s="11">
        <v>2225.3032013680004</v>
      </c>
      <c r="G386" s="18">
        <v>1.66300380496526E-3</v>
      </c>
      <c r="H386" s="12">
        <v>2.56490885404</v>
      </c>
      <c r="I386" s="9"/>
      <c r="J386" s="9"/>
      <c r="K386" s="9"/>
    </row>
    <row r="387" spans="1:11" x14ac:dyDescent="0.35">
      <c r="A387" s="8">
        <v>4379789</v>
      </c>
      <c r="B387" s="8"/>
      <c r="C387" s="8">
        <v>2020</v>
      </c>
      <c r="D387" s="10">
        <v>11970.480913807683</v>
      </c>
      <c r="E387" s="12">
        <v>2923.5705069999999</v>
      </c>
      <c r="F387" s="11">
        <v>4825.7460428040004</v>
      </c>
      <c r="G387" s="18">
        <v>0.64509131223625893</v>
      </c>
      <c r="H387" s="12">
        <v>4.0944731400000007</v>
      </c>
      <c r="I387" s="9"/>
      <c r="J387" s="9"/>
      <c r="K387" s="9"/>
    </row>
    <row r="388" spans="1:11" x14ac:dyDescent="0.35">
      <c r="A388" s="8">
        <v>4379789</v>
      </c>
      <c r="B388" s="8"/>
      <c r="C388" s="8">
        <v>2021</v>
      </c>
      <c r="D388" s="10">
        <v>8639.7881500960975</v>
      </c>
      <c r="E388" s="12">
        <v>2808.4062690000001</v>
      </c>
      <c r="F388" s="11">
        <v>5096.7406063199996</v>
      </c>
      <c r="G388" s="12">
        <v>0.7646637958749174</v>
      </c>
      <c r="H388" s="12">
        <v>3.0764025295999997</v>
      </c>
      <c r="I388" s="9"/>
      <c r="J388" s="9"/>
      <c r="K388" s="9"/>
    </row>
    <row r="389" spans="1:11" x14ac:dyDescent="0.35">
      <c r="A389" s="8">
        <v>4379789</v>
      </c>
      <c r="B389" s="8"/>
      <c r="C389" s="8">
        <v>2022</v>
      </c>
      <c r="D389" s="10">
        <v>7445.01309578583</v>
      </c>
      <c r="E389" s="12">
        <v>2830.3702509999998</v>
      </c>
      <c r="F389" s="11">
        <v>5352.7985845080002</v>
      </c>
      <c r="G389" s="12">
        <v>0.39879035540004681</v>
      </c>
      <c r="H389" s="12">
        <v>2.6304025394399999</v>
      </c>
      <c r="I389" s="9"/>
      <c r="J389" s="9"/>
      <c r="K389" s="9"/>
    </row>
    <row r="390" spans="1:11" x14ac:dyDescent="0.35">
      <c r="A390" s="8">
        <v>4379789</v>
      </c>
      <c r="B390" s="8"/>
      <c r="C390" s="8">
        <v>2023</v>
      </c>
      <c r="D390" s="10">
        <v>3853.2173340269364</v>
      </c>
      <c r="E390" s="12">
        <v>2830.5672639999998</v>
      </c>
      <c r="F390" s="11">
        <v>2821.365114614</v>
      </c>
      <c r="G390" s="12">
        <v>-0.72382294102183198</v>
      </c>
      <c r="H390" s="12">
        <v>1.3612880297999999</v>
      </c>
      <c r="I390" s="9"/>
      <c r="J390" s="9"/>
      <c r="K390" s="9"/>
    </row>
    <row r="391" spans="1:11" x14ac:dyDescent="0.35">
      <c r="A391" s="8">
        <v>4379789</v>
      </c>
      <c r="B391" s="8"/>
      <c r="C391" s="8">
        <v>2024</v>
      </c>
      <c r="D391" s="10">
        <v>2245.6491044718618</v>
      </c>
      <c r="E391" s="12">
        <v>2830.5672639999998</v>
      </c>
      <c r="F391" s="11">
        <v>2557.4362400280002</v>
      </c>
      <c r="G391" s="12">
        <v>-0.14082449741864239</v>
      </c>
      <c r="H391" s="12">
        <v>0.79335655896000001</v>
      </c>
      <c r="I391" s="9"/>
      <c r="J391" s="9"/>
      <c r="K391" s="9"/>
    </row>
    <row r="392" spans="1:11" x14ac:dyDescent="0.35">
      <c r="A392" s="8">
        <v>4379789</v>
      </c>
      <c r="B392" s="8"/>
      <c r="C392" s="8">
        <v>2025</v>
      </c>
      <c r="D392" s="10">
        <v>10342.891204614751</v>
      </c>
      <c r="E392" s="12">
        <v>2830.5672639999998</v>
      </c>
      <c r="F392" s="11">
        <v>2667.540386395</v>
      </c>
      <c r="G392" s="12">
        <v>-0.10249346938196695</v>
      </c>
      <c r="H392" s="12">
        <v>3.6539994425</v>
      </c>
      <c r="I392" s="9"/>
      <c r="J392" s="9"/>
      <c r="K392" s="9"/>
    </row>
    <row r="393" spans="1:11" x14ac:dyDescent="0.35">
      <c r="A393" s="8">
        <v>4533261</v>
      </c>
      <c r="B393" s="8"/>
      <c r="C393" s="8">
        <v>2020</v>
      </c>
      <c r="D393" s="9">
        <f>E393*H393</f>
        <v>24.004828400000001</v>
      </c>
      <c r="E393" s="12">
        <v>300.06035500000002</v>
      </c>
      <c r="F393" s="11">
        <v>22.358000000000001</v>
      </c>
      <c r="G393" s="18">
        <v>-8.9999999999999993E-3</v>
      </c>
      <c r="H393" s="13">
        <v>0.08</v>
      </c>
      <c r="I393" s="9"/>
      <c r="J393" s="9"/>
      <c r="K393" s="9"/>
    </row>
    <row r="394" spans="1:11" x14ac:dyDescent="0.35">
      <c r="A394" s="8">
        <v>4533261</v>
      </c>
      <c r="B394" s="8"/>
      <c r="C394" s="8">
        <v>2021</v>
      </c>
      <c r="D394" s="10">
        <v>61.796593097247914</v>
      </c>
      <c r="E394" s="12">
        <v>404.70883099999998</v>
      </c>
      <c r="F394" s="11">
        <v>40.78</v>
      </c>
      <c r="G394" s="12">
        <v>-0.01</v>
      </c>
      <c r="H394" s="12">
        <v>0.15269395763999999</v>
      </c>
      <c r="I394" s="9"/>
      <c r="J394" s="9"/>
      <c r="K394" s="9"/>
    </row>
    <row r="395" spans="1:11" x14ac:dyDescent="0.35">
      <c r="A395" s="8">
        <v>4533261</v>
      </c>
      <c r="B395" s="8"/>
      <c r="C395" s="8">
        <v>2022</v>
      </c>
      <c r="D395" s="10">
        <v>59.658791954035983</v>
      </c>
      <c r="E395" s="12">
        <v>450.13323400000002</v>
      </c>
      <c r="F395" s="11">
        <v>37.814999999999998</v>
      </c>
      <c r="G395" s="12">
        <v>-0.02</v>
      </c>
      <c r="H395" s="12">
        <v>0.132535852605</v>
      </c>
      <c r="I395" s="9"/>
      <c r="J395" s="9"/>
      <c r="K395" s="9"/>
    </row>
    <row r="396" spans="1:11" x14ac:dyDescent="0.35">
      <c r="A396" s="8">
        <v>4533261</v>
      </c>
      <c r="B396" s="8"/>
      <c r="C396" s="8">
        <v>2023</v>
      </c>
      <c r="D396" s="10">
        <v>55.402850769068948</v>
      </c>
      <c r="E396" s="12">
        <v>451.53323399999999</v>
      </c>
      <c r="F396" s="11">
        <v>24.7</v>
      </c>
      <c r="G396" s="12">
        <v>-2.9000000000000001E-2</v>
      </c>
      <c r="H396" s="12">
        <v>0.12269938644</v>
      </c>
      <c r="I396" s="9"/>
      <c r="J396" s="9"/>
      <c r="K396" s="9"/>
    </row>
    <row r="397" spans="1:11" x14ac:dyDescent="0.35">
      <c r="A397" s="8">
        <v>4533261</v>
      </c>
      <c r="B397" s="8"/>
      <c r="C397" s="8">
        <v>2024</v>
      </c>
      <c r="D397" s="10">
        <v>21.390654098153107</v>
      </c>
      <c r="E397" s="12">
        <v>886.28610200000003</v>
      </c>
      <c r="F397" s="11">
        <v>33.664999999999999</v>
      </c>
      <c r="G397" s="12">
        <v>-1.7000000000000001E-2</v>
      </c>
      <c r="H397" s="12">
        <v>2.4135156864000001E-2</v>
      </c>
      <c r="I397" s="9"/>
      <c r="J397" s="9"/>
      <c r="K397" s="9"/>
    </row>
    <row r="398" spans="1:11" x14ac:dyDescent="0.35">
      <c r="A398" s="8">
        <v>4533261</v>
      </c>
      <c r="B398" s="8"/>
      <c r="C398" s="8">
        <v>2025</v>
      </c>
      <c r="D398" s="10">
        <v>20.754785832571063</v>
      </c>
      <c r="E398" s="12">
        <v>3457.286102</v>
      </c>
      <c r="F398" s="11">
        <v>35.384999999999998</v>
      </c>
      <c r="G398" s="12">
        <v>-1.4E-2</v>
      </c>
      <c r="H398" s="12">
        <v>6.0032017079999994E-3</v>
      </c>
      <c r="I398" s="9"/>
      <c r="J398" s="9"/>
      <c r="K398" s="9"/>
    </row>
    <row r="399" spans="1:11" x14ac:dyDescent="0.35">
      <c r="A399" s="8">
        <v>4549637</v>
      </c>
      <c r="B399" s="8"/>
      <c r="C399" s="8">
        <v>2014</v>
      </c>
      <c r="D399" s="10">
        <v>339.69870542181957</v>
      </c>
      <c r="E399" s="12">
        <v>254.78064599999999</v>
      </c>
      <c r="F399" s="11">
        <v>209.85400000000001</v>
      </c>
      <c r="G399" s="18">
        <v>-0.19800000000000001</v>
      </c>
      <c r="H399" s="12">
        <v>1.3332987052</v>
      </c>
      <c r="I399" s="9"/>
      <c r="J399" s="9"/>
      <c r="K399" s="9"/>
    </row>
    <row r="400" spans="1:11" x14ac:dyDescent="0.35">
      <c r="A400" s="8">
        <v>4549637</v>
      </c>
      <c r="B400" s="8"/>
      <c r="C400" s="8">
        <v>2015</v>
      </c>
      <c r="D400" s="10">
        <v>82.741145650026326</v>
      </c>
      <c r="E400" s="12">
        <v>255.891886</v>
      </c>
      <c r="F400" s="11">
        <v>178.94800000000001</v>
      </c>
      <c r="G400" s="18">
        <v>1.7999999999999999E-2</v>
      </c>
      <c r="H400" s="12">
        <v>0.32334415499999997</v>
      </c>
      <c r="I400" s="9"/>
      <c r="J400" s="9"/>
      <c r="K400" s="9"/>
    </row>
    <row r="401" spans="1:11" x14ac:dyDescent="0.35">
      <c r="A401" s="8">
        <v>4549637</v>
      </c>
      <c r="B401" s="8"/>
      <c r="C401" s="8">
        <v>2016</v>
      </c>
      <c r="D401" s="10">
        <v>384.18393339409027</v>
      </c>
      <c r="E401" s="12">
        <v>256.98157099999997</v>
      </c>
      <c r="F401" s="11">
        <v>201.85900000000001</v>
      </c>
      <c r="G401" s="18">
        <v>5.3999999999999999E-2</v>
      </c>
      <c r="H401" s="12">
        <v>1.4949863210000001</v>
      </c>
      <c r="I401" s="9"/>
      <c r="J401" s="9"/>
      <c r="K401" s="9"/>
    </row>
    <row r="402" spans="1:11" x14ac:dyDescent="0.35">
      <c r="A402" s="8">
        <v>4549637</v>
      </c>
      <c r="B402" s="8"/>
      <c r="C402" s="8">
        <v>2017</v>
      </c>
      <c r="D402" s="10">
        <v>388.96947884141287</v>
      </c>
      <c r="E402" s="12">
        <v>260.01272599999999</v>
      </c>
      <c r="F402" s="11">
        <v>271.846</v>
      </c>
      <c r="G402" s="18">
        <v>0.22</v>
      </c>
      <c r="H402" s="12">
        <v>1.4951186439999999</v>
      </c>
      <c r="I402" s="9"/>
      <c r="J402" s="9"/>
      <c r="K402" s="9"/>
    </row>
    <row r="403" spans="1:11" x14ac:dyDescent="0.35">
      <c r="A403" s="8">
        <v>4549637</v>
      </c>
      <c r="B403" s="8"/>
      <c r="C403" s="8">
        <v>2018</v>
      </c>
      <c r="D403" s="10">
        <v>362.76963233523975</v>
      </c>
      <c r="E403" s="12">
        <v>260.90242899999998</v>
      </c>
      <c r="F403" s="11">
        <v>298.334</v>
      </c>
      <c r="G403" s="18">
        <v>0.18</v>
      </c>
      <c r="H403" s="12">
        <v>1.3901438799999999</v>
      </c>
      <c r="I403" s="9"/>
      <c r="J403" s="9"/>
      <c r="K403" s="9"/>
    </row>
    <row r="404" spans="1:11" x14ac:dyDescent="0.35">
      <c r="A404" s="8">
        <v>4549637</v>
      </c>
      <c r="B404" s="8"/>
      <c r="C404" s="8">
        <v>2019</v>
      </c>
      <c r="D404" s="10">
        <v>301.04576685775521</v>
      </c>
      <c r="E404" s="12">
        <v>266.610322</v>
      </c>
      <c r="F404" s="11">
        <v>288.78899999999999</v>
      </c>
      <c r="G404" s="18">
        <v>0.04</v>
      </c>
      <c r="H404" s="12">
        <v>1.1291602088000001</v>
      </c>
      <c r="I404" s="9"/>
      <c r="J404" s="9"/>
      <c r="K404" s="9"/>
    </row>
    <row r="405" spans="1:11" x14ac:dyDescent="0.35">
      <c r="A405" s="8">
        <v>4549637</v>
      </c>
      <c r="B405" s="8"/>
      <c r="C405" s="8">
        <v>2020</v>
      </c>
      <c r="D405" s="10">
        <v>457.84556199026935</v>
      </c>
      <c r="E405" s="12">
        <v>268.476314</v>
      </c>
      <c r="F405" s="11">
        <v>320.82900000000001</v>
      </c>
      <c r="G405" s="18">
        <v>0.16200000000000001</v>
      </c>
      <c r="H405" s="12">
        <v>1.70534806281</v>
      </c>
      <c r="I405" s="9"/>
      <c r="J405" s="9"/>
      <c r="K405" s="9"/>
    </row>
    <row r="406" spans="1:11" x14ac:dyDescent="0.35">
      <c r="A406" s="8">
        <v>4549637</v>
      </c>
      <c r="B406" s="8"/>
      <c r="C406" s="8">
        <v>2021</v>
      </c>
      <c r="D406" s="10">
        <v>458.99882270999103</v>
      </c>
      <c r="E406" s="12">
        <v>271.284379</v>
      </c>
      <c r="F406" s="11">
        <v>451.274</v>
      </c>
      <c r="G406" s="12">
        <v>0.373</v>
      </c>
      <c r="H406" s="12">
        <v>1.6917081119999999</v>
      </c>
      <c r="I406" s="9"/>
      <c r="J406" s="9"/>
      <c r="K406" s="9"/>
    </row>
    <row r="407" spans="1:11" x14ac:dyDescent="0.35">
      <c r="A407" s="8">
        <v>4549637</v>
      </c>
      <c r="B407" s="8"/>
      <c r="C407" s="8">
        <v>2022</v>
      </c>
      <c r="D407" s="10">
        <v>352.79419789076525</v>
      </c>
      <c r="E407" s="12">
        <v>299.74636500000003</v>
      </c>
      <c r="F407" s="11">
        <v>620.38099999999997</v>
      </c>
      <c r="G407" s="12">
        <v>0.53800000000000003</v>
      </c>
      <c r="H407" s="12">
        <v>1.17697573377</v>
      </c>
      <c r="I407" s="9"/>
      <c r="J407" s="9"/>
      <c r="K407" s="9"/>
    </row>
    <row r="408" spans="1:11" x14ac:dyDescent="0.35">
      <c r="A408" s="8">
        <v>4549637</v>
      </c>
      <c r="B408" s="8"/>
      <c r="C408" s="8">
        <v>2023</v>
      </c>
      <c r="D408" s="10">
        <v>247.83629422461823</v>
      </c>
      <c r="E408" s="12">
        <v>300.01969400000002</v>
      </c>
      <c r="F408" s="11">
        <v>675.17600000000004</v>
      </c>
      <c r="G408" s="12">
        <v>0.27200000000000002</v>
      </c>
      <c r="H408" s="12">
        <v>0.82606675222000003</v>
      </c>
      <c r="I408" s="9"/>
      <c r="J408" s="9"/>
      <c r="K408" s="9"/>
    </row>
    <row r="409" spans="1:11" x14ac:dyDescent="0.35">
      <c r="A409" s="8">
        <v>4549637</v>
      </c>
      <c r="B409" s="8"/>
      <c r="C409" s="8">
        <v>2024</v>
      </c>
      <c r="D409" s="10">
        <v>253.58891536059275</v>
      </c>
      <c r="E409" s="12">
        <v>295.20439099999999</v>
      </c>
      <c r="F409" s="11">
        <v>779.58199999999999</v>
      </c>
      <c r="G409" s="12">
        <v>0.27</v>
      </c>
      <c r="H409" s="12">
        <v>0.85902826343999994</v>
      </c>
      <c r="I409" s="9"/>
      <c r="J409" s="9"/>
      <c r="K409" s="9"/>
    </row>
    <row r="410" spans="1:11" x14ac:dyDescent="0.35">
      <c r="A410" s="8">
        <v>4549637</v>
      </c>
      <c r="B410" s="8"/>
      <c r="C410" s="8">
        <v>2025</v>
      </c>
      <c r="D410" s="10">
        <v>474.42402157896021</v>
      </c>
      <c r="E410" s="12">
        <v>294.17520300000001</v>
      </c>
      <c r="F410" s="11">
        <v>847.84199999999998</v>
      </c>
      <c r="G410" s="12">
        <v>0.26</v>
      </c>
      <c r="H410" s="12">
        <v>1.6186311579999999</v>
      </c>
      <c r="I410" s="9"/>
      <c r="J410" s="9"/>
      <c r="K410" s="9"/>
    </row>
    <row r="411" spans="1:11" x14ac:dyDescent="0.35">
      <c r="A411" s="8">
        <v>4698527</v>
      </c>
      <c r="B411" s="8"/>
      <c r="C411" s="8">
        <v>2017</v>
      </c>
      <c r="D411" s="10">
        <v>8.9167362002585548</v>
      </c>
      <c r="E411" s="12">
        <v>54.975394000000001</v>
      </c>
      <c r="F411" s="11">
        <v>10.701000000000001</v>
      </c>
      <c r="G411" s="18">
        <v>0.111</v>
      </c>
      <c r="H411" s="12">
        <v>0.16219503948</v>
      </c>
      <c r="I411" s="9"/>
      <c r="J411" s="9"/>
      <c r="K411" s="9"/>
    </row>
    <row r="412" spans="1:11" x14ac:dyDescent="0.35">
      <c r="A412" s="8">
        <v>4698527</v>
      </c>
      <c r="B412" s="8"/>
      <c r="C412" s="8">
        <v>2018</v>
      </c>
      <c r="D412" s="10">
        <v>5.2185139486226282</v>
      </c>
      <c r="E412" s="12">
        <v>66.040294000000003</v>
      </c>
      <c r="F412" s="11">
        <v>10.548999999999999</v>
      </c>
      <c r="G412" s="18">
        <v>-1.4999999999999999E-2</v>
      </c>
      <c r="H412" s="12">
        <v>7.9020150162000008E-2</v>
      </c>
      <c r="I412" s="9"/>
      <c r="J412" s="9"/>
      <c r="K412" s="9"/>
    </row>
    <row r="413" spans="1:11" x14ac:dyDescent="0.35">
      <c r="A413" s="8">
        <v>4698527</v>
      </c>
      <c r="B413" s="8"/>
      <c r="C413" s="8">
        <v>2019</v>
      </c>
      <c r="D413" s="10">
        <v>9.6606938558586553</v>
      </c>
      <c r="E413" s="12">
        <v>129.67656700000001</v>
      </c>
      <c r="F413" s="11">
        <v>13.168000000000001</v>
      </c>
      <c r="G413" s="18">
        <v>-1.4999999999999999E-2</v>
      </c>
      <c r="H413" s="12">
        <v>7.44983776125E-2</v>
      </c>
      <c r="I413" s="9"/>
      <c r="J413" s="9"/>
      <c r="K413" s="9"/>
    </row>
    <row r="414" spans="1:11" x14ac:dyDescent="0.35">
      <c r="A414" s="8">
        <v>4698527</v>
      </c>
      <c r="B414" s="8"/>
      <c r="C414" s="8">
        <v>2020</v>
      </c>
      <c r="D414" s="10">
        <v>23.834694334789468</v>
      </c>
      <c r="E414" s="12">
        <v>205.382159</v>
      </c>
      <c r="F414" s="11">
        <v>18.022000000000002</v>
      </c>
      <c r="G414" s="18">
        <v>-4.0000000000000001E-3</v>
      </c>
      <c r="H414" s="12">
        <v>0.11605046149500001</v>
      </c>
      <c r="I414" s="9"/>
      <c r="J414" s="9"/>
      <c r="K414" s="9"/>
    </row>
    <row r="415" spans="1:11" x14ac:dyDescent="0.35">
      <c r="A415" s="8">
        <v>4698527</v>
      </c>
      <c r="B415" s="8"/>
      <c r="C415" s="8">
        <v>2021</v>
      </c>
      <c r="D415" s="10">
        <v>36.855295645523093</v>
      </c>
      <c r="E415" s="12">
        <v>289.55715900000001</v>
      </c>
      <c r="F415" s="11">
        <v>26.588000000000001</v>
      </c>
      <c r="G415" s="12">
        <v>-8.0000000000000002E-3</v>
      </c>
      <c r="H415" s="12">
        <v>0.12728159017999999</v>
      </c>
      <c r="I415" s="9"/>
      <c r="J415" s="9"/>
      <c r="K415" s="9"/>
    </row>
    <row r="416" spans="1:11" x14ac:dyDescent="0.35">
      <c r="A416" s="8">
        <v>4698527</v>
      </c>
      <c r="B416" s="8"/>
      <c r="C416" s="8">
        <v>2022</v>
      </c>
      <c r="D416" s="10">
        <v>14.740393961325427</v>
      </c>
      <c r="E416" s="12">
        <v>289.55715900000001</v>
      </c>
      <c r="F416" s="11">
        <v>24.185000000000002</v>
      </c>
      <c r="G416" s="12">
        <v>-8.9999999999999993E-3</v>
      </c>
      <c r="H416" s="12">
        <v>5.0906681127249997E-2</v>
      </c>
      <c r="I416" s="9"/>
      <c r="J416" s="9"/>
      <c r="K416" s="9"/>
    </row>
    <row r="417" spans="1:11" x14ac:dyDescent="0.35">
      <c r="A417" s="8">
        <v>4698527</v>
      </c>
      <c r="B417" s="8"/>
      <c r="C417" s="8">
        <v>2023</v>
      </c>
      <c r="D417" s="10">
        <v>10.610254567774696</v>
      </c>
      <c r="E417" s="12">
        <v>370.21771799999999</v>
      </c>
      <c r="F417" s="11">
        <v>24.655000000000001</v>
      </c>
      <c r="G417" s="12">
        <v>-8.0000000000000002E-3</v>
      </c>
      <c r="H417" s="12">
        <v>2.8659499672499995E-2</v>
      </c>
      <c r="I417" s="9"/>
      <c r="J417" s="9"/>
      <c r="K417" s="9"/>
    </row>
    <row r="418" spans="1:11" x14ac:dyDescent="0.35">
      <c r="A418" s="8">
        <v>4698527</v>
      </c>
      <c r="B418" s="8"/>
      <c r="C418" s="8">
        <v>2024</v>
      </c>
      <c r="D418" s="10">
        <v>13.869279703380046</v>
      </c>
      <c r="E418" s="12">
        <v>452.17814499999997</v>
      </c>
      <c r="F418" s="11">
        <v>25.879000000000001</v>
      </c>
      <c r="G418" s="12">
        <v>-3.0000000000000001E-3</v>
      </c>
      <c r="H418" s="12">
        <v>3.0672158433000002E-2</v>
      </c>
      <c r="I418" s="9"/>
      <c r="J418" s="9"/>
      <c r="K418" s="9"/>
    </row>
    <row r="419" spans="1:11" x14ac:dyDescent="0.35">
      <c r="A419" s="8">
        <v>4698527</v>
      </c>
      <c r="B419" s="8"/>
      <c r="C419" s="8">
        <v>2025</v>
      </c>
      <c r="D419" s="10">
        <v>45.6300918408527</v>
      </c>
      <c r="E419" s="12">
        <v>502.26901099999998</v>
      </c>
      <c r="F419" s="11">
        <v>28.114000000000001</v>
      </c>
      <c r="G419" s="12">
        <v>-3.0000000000000001E-3</v>
      </c>
      <c r="H419" s="12">
        <v>9.0847913850000003E-2</v>
      </c>
      <c r="I419" s="9"/>
      <c r="J419" s="9"/>
      <c r="K419" s="9"/>
    </row>
    <row r="420" spans="1:11" x14ac:dyDescent="0.35">
      <c r="A420" s="8">
        <v>4796000</v>
      </c>
      <c r="B420" s="8"/>
      <c r="C420" s="8">
        <v>2012</v>
      </c>
      <c r="D420" s="9">
        <f>E420*H420</f>
        <v>5948.5546000000004</v>
      </c>
      <c r="E420" s="12">
        <v>182.471</v>
      </c>
      <c r="F420" s="11">
        <v>12653</v>
      </c>
      <c r="G420" s="12">
        <v>-1.48</v>
      </c>
      <c r="H420" s="12">
        <v>32.6</v>
      </c>
      <c r="I420" s="9"/>
      <c r="J420" s="9"/>
      <c r="K420" s="9"/>
    </row>
    <row r="421" spans="1:11" x14ac:dyDescent="0.35">
      <c r="A421" s="8">
        <v>4796000</v>
      </c>
      <c r="B421" s="8"/>
      <c r="C421" s="8">
        <v>2013</v>
      </c>
      <c r="D421" s="9">
        <f t="shared" ref="D421:D422" si="0">E421*H421</f>
        <v>8065.2182000000003</v>
      </c>
      <c r="E421" s="12">
        <v>182.471</v>
      </c>
      <c r="F421" s="11">
        <v>13086</v>
      </c>
      <c r="G421" s="18">
        <v>-1.52</v>
      </c>
      <c r="H421" s="12">
        <v>44.2</v>
      </c>
      <c r="I421" s="9"/>
      <c r="J421" s="9"/>
      <c r="K421" s="9"/>
    </row>
    <row r="422" spans="1:11" x14ac:dyDescent="0.35">
      <c r="A422" s="8">
        <v>4796000</v>
      </c>
      <c r="B422" s="8"/>
      <c r="C422" s="8">
        <v>2014</v>
      </c>
      <c r="D422" s="9">
        <f t="shared" si="0"/>
        <v>5857.3253594999996</v>
      </c>
      <c r="E422" s="12">
        <v>182.47119499999999</v>
      </c>
      <c r="F422" s="11">
        <v>13073</v>
      </c>
      <c r="G422" s="18">
        <v>-1.403</v>
      </c>
      <c r="H422" s="12">
        <v>32.1</v>
      </c>
      <c r="I422" s="9"/>
      <c r="J422" s="9"/>
      <c r="K422" s="9"/>
    </row>
    <row r="423" spans="1:11" x14ac:dyDescent="0.35">
      <c r="A423" s="8">
        <v>4796000</v>
      </c>
      <c r="B423" s="8"/>
      <c r="C423" s="8">
        <v>2015</v>
      </c>
      <c r="D423" s="9">
        <f>E423*H423</f>
        <v>9442.8843412499991</v>
      </c>
      <c r="E423" s="12">
        <v>182.47119499999999</v>
      </c>
      <c r="F423" s="11">
        <v>11513</v>
      </c>
      <c r="G423" s="18">
        <v>-4.7300000000000004</v>
      </c>
      <c r="H423" s="12">
        <v>51.75</v>
      </c>
      <c r="I423" s="9"/>
      <c r="J423" s="9"/>
      <c r="K423" s="9"/>
    </row>
    <row r="424" spans="1:11" x14ac:dyDescent="0.35">
      <c r="A424" s="8">
        <v>4796000</v>
      </c>
      <c r="B424" s="8"/>
      <c r="C424" s="8">
        <v>2016</v>
      </c>
      <c r="D424" s="10">
        <v>5134.9698036</v>
      </c>
      <c r="E424" s="12">
        <v>182.930995</v>
      </c>
      <c r="F424" s="11">
        <v>7697</v>
      </c>
      <c r="G424" s="18">
        <v>-2.19</v>
      </c>
      <c r="H424" s="12">
        <v>28.08</v>
      </c>
      <c r="I424" s="9"/>
      <c r="J424" s="9"/>
      <c r="K424" s="9"/>
    </row>
    <row r="425" spans="1:11" x14ac:dyDescent="0.35">
      <c r="A425" s="8">
        <v>4796000</v>
      </c>
      <c r="B425" s="8"/>
      <c r="C425" s="8">
        <v>2017</v>
      </c>
      <c r="D425" s="10">
        <v>9967.1851852300006</v>
      </c>
      <c r="E425" s="12">
        <v>185.20071300000001</v>
      </c>
      <c r="F425" s="11">
        <v>6798</v>
      </c>
      <c r="G425" s="18">
        <v>1.49</v>
      </c>
      <c r="H425" s="12">
        <v>53.87</v>
      </c>
      <c r="I425" s="9"/>
      <c r="J425" s="9"/>
      <c r="K425" s="9"/>
    </row>
    <row r="426" spans="1:11" x14ac:dyDescent="0.35">
      <c r="A426" s="8">
        <v>4796000</v>
      </c>
      <c r="B426" s="8"/>
      <c r="C426" s="8">
        <v>2018</v>
      </c>
      <c r="D426" s="10">
        <v>4957.0118224199996</v>
      </c>
      <c r="E426" s="12">
        <v>184.77024900000001</v>
      </c>
      <c r="F426" s="11">
        <v>7588</v>
      </c>
      <c r="G426" s="18">
        <v>1.33</v>
      </c>
      <c r="H426" s="12">
        <v>26.58</v>
      </c>
      <c r="I426" s="9"/>
      <c r="J426" s="9"/>
      <c r="K426" s="9"/>
    </row>
    <row r="427" spans="1:11" x14ac:dyDescent="0.35">
      <c r="A427" s="8">
        <v>4796000</v>
      </c>
      <c r="B427" s="8"/>
      <c r="C427" s="8">
        <v>2019</v>
      </c>
      <c r="D427" s="10">
        <v>3991.6734446700002</v>
      </c>
      <c r="E427" s="12">
        <v>185.58016599999999</v>
      </c>
      <c r="F427" s="11">
        <v>5886</v>
      </c>
      <c r="G427" s="18">
        <v>-6.0810000000000004</v>
      </c>
      <c r="H427" s="12">
        <v>21.51</v>
      </c>
      <c r="I427" s="9"/>
      <c r="J427" s="9"/>
      <c r="K427" s="9"/>
    </row>
    <row r="428" spans="1:11" x14ac:dyDescent="0.35">
      <c r="A428" s="8">
        <v>4796000</v>
      </c>
      <c r="B428" s="8"/>
      <c r="C428" s="8">
        <v>2020</v>
      </c>
      <c r="D428" s="10">
        <v>4285.6769573000001</v>
      </c>
      <c r="E428" s="12">
        <v>185.978069</v>
      </c>
      <c r="F428" s="11">
        <v>5016</v>
      </c>
      <c r="G428" s="18">
        <v>-0.91400000000000003</v>
      </c>
      <c r="H428" s="12">
        <v>23.05</v>
      </c>
      <c r="I428" s="9"/>
      <c r="J428" s="9"/>
      <c r="K428" s="9"/>
    </row>
    <row r="429" spans="1:11" x14ac:dyDescent="0.35">
      <c r="A429" s="8">
        <v>4796000</v>
      </c>
      <c r="B429" s="8"/>
      <c r="C429" s="8">
        <v>2021</v>
      </c>
      <c r="D429" s="10">
        <v>11147.60549826</v>
      </c>
      <c r="E429" s="12">
        <v>184.09974800000001</v>
      </c>
      <c r="F429" s="11">
        <v>6284</v>
      </c>
      <c r="G429" s="12">
        <v>2.2599999999999998</v>
      </c>
      <c r="H429" s="12">
        <v>59.58</v>
      </c>
      <c r="I429" s="9"/>
      <c r="J429" s="9"/>
      <c r="K429" s="9"/>
    </row>
    <row r="430" spans="1:11" x14ac:dyDescent="0.35">
      <c r="A430" s="8">
        <v>4796000</v>
      </c>
      <c r="B430" s="8"/>
      <c r="C430" s="8">
        <v>2022</v>
      </c>
      <c r="D430" s="10">
        <v>8045.33289255</v>
      </c>
      <c r="E430" s="12">
        <v>176.96909099999999</v>
      </c>
      <c r="F430" s="11">
        <v>6589</v>
      </c>
      <c r="G430" s="12">
        <v>-0.68</v>
      </c>
      <c r="H430" s="12">
        <v>45.47</v>
      </c>
      <c r="I430" s="9"/>
      <c r="J430" s="9"/>
      <c r="K430" s="9"/>
    </row>
    <row r="431" spans="1:11" x14ac:dyDescent="0.35">
      <c r="A431" s="8">
        <v>4796000</v>
      </c>
      <c r="B431" s="8"/>
      <c r="C431" s="8">
        <v>2023</v>
      </c>
      <c r="D431" s="10">
        <v>6068.0448720000004</v>
      </c>
      <c r="E431" s="12">
        <v>178.472464</v>
      </c>
      <c r="F431" s="11">
        <v>5845</v>
      </c>
      <c r="G431" s="12">
        <v>-3.657</v>
      </c>
      <c r="H431" s="12">
        <v>34</v>
      </c>
      <c r="I431" s="9"/>
      <c r="J431" s="9"/>
      <c r="K431" s="9"/>
    </row>
    <row r="432" spans="1:11" x14ac:dyDescent="0.35">
      <c r="A432" s="8">
        <v>4796000</v>
      </c>
      <c r="B432" s="8"/>
      <c r="C432" s="8">
        <v>2024</v>
      </c>
      <c r="D432" s="10">
        <v>9760.8751042399999</v>
      </c>
      <c r="E432" s="12">
        <v>258.36090799999999</v>
      </c>
      <c r="F432" s="11">
        <v>5157</v>
      </c>
      <c r="G432" s="12">
        <v>0.26</v>
      </c>
      <c r="H432" s="12">
        <v>37.78</v>
      </c>
      <c r="I432" s="9"/>
      <c r="J432" s="9"/>
      <c r="K432" s="9"/>
    </row>
    <row r="433" spans="1:11" x14ac:dyDescent="0.35">
      <c r="A433" s="8">
        <v>4796000</v>
      </c>
      <c r="B433" s="8"/>
      <c r="C433" s="8">
        <v>2025</v>
      </c>
      <c r="D433" s="10">
        <v>13883.50035626</v>
      </c>
      <c r="E433" s="12">
        <v>263.10240599999997</v>
      </c>
      <c r="F433" s="11">
        <v>6194</v>
      </c>
      <c r="G433" s="12">
        <v>4.37</v>
      </c>
      <c r="H433" s="12">
        <v>53.14</v>
      </c>
      <c r="I433" s="9"/>
      <c r="J433" s="9"/>
      <c r="K433" s="9"/>
    </row>
    <row r="434" spans="1:11" x14ac:dyDescent="0.35">
      <c r="A434" s="8">
        <v>5578992</v>
      </c>
      <c r="B434" s="8"/>
      <c r="C434" s="8">
        <v>2018</v>
      </c>
      <c r="D434" s="10">
        <v>5.641064628303937</v>
      </c>
      <c r="E434" s="12">
        <v>88.928250000000006</v>
      </c>
      <c r="F434" s="11">
        <v>2.6637781050171596</v>
      </c>
      <c r="G434" s="18">
        <v>-4.1859955244975461E-2</v>
      </c>
      <c r="H434" s="12">
        <v>6.3433887750000001E-2</v>
      </c>
      <c r="I434" s="9"/>
      <c r="J434" s="9"/>
      <c r="K434" s="9"/>
    </row>
    <row r="435" spans="1:11" x14ac:dyDescent="0.35">
      <c r="A435" s="8">
        <v>5578992</v>
      </c>
      <c r="B435" s="8"/>
      <c r="C435" s="8">
        <v>2019</v>
      </c>
      <c r="D435" s="10">
        <v>4.8813511837662444</v>
      </c>
      <c r="E435" s="12">
        <v>111.782203</v>
      </c>
      <c r="F435" s="11">
        <v>1.503322114437416</v>
      </c>
      <c r="G435" s="18">
        <v>-3.2902499616626078E-2</v>
      </c>
      <c r="H435" s="12">
        <v>3.4424617094E-2</v>
      </c>
      <c r="I435" s="9"/>
      <c r="J435" s="9"/>
      <c r="K435" s="9"/>
    </row>
    <row r="436" spans="1:11" x14ac:dyDescent="0.35">
      <c r="A436" s="8">
        <v>5578992</v>
      </c>
      <c r="B436" s="8"/>
      <c r="C436" s="8">
        <v>2020</v>
      </c>
      <c r="D436" s="10">
        <v>6.1989472974818032</v>
      </c>
      <c r="E436" s="12">
        <v>141.798271</v>
      </c>
      <c r="F436" s="11">
        <v>1.1582808618498481</v>
      </c>
      <c r="G436" s="18">
        <v>-1.4100907203904991E-2</v>
      </c>
      <c r="H436" s="12">
        <v>3.4716864690000002E-2</v>
      </c>
      <c r="I436" s="9"/>
      <c r="J436" s="9"/>
      <c r="K436" s="9"/>
    </row>
    <row r="437" spans="1:11" x14ac:dyDescent="0.35">
      <c r="A437" s="8">
        <v>5578992</v>
      </c>
      <c r="B437" s="8"/>
      <c r="C437" s="8">
        <v>2021</v>
      </c>
      <c r="D437" s="10">
        <v>19.408837601006887</v>
      </c>
      <c r="E437" s="12">
        <v>218.99145300000001</v>
      </c>
      <c r="F437" s="11">
        <v>5.1845681522337834</v>
      </c>
      <c r="G437" s="12">
        <v>-1.6437288272230344E-2</v>
      </c>
      <c r="H437" s="12">
        <v>8.7253690080000001E-2</v>
      </c>
      <c r="I437" s="9"/>
      <c r="J437" s="9"/>
      <c r="K437" s="9"/>
    </row>
    <row r="438" spans="1:11" x14ac:dyDescent="0.35">
      <c r="A438" s="8">
        <v>5578992</v>
      </c>
      <c r="B438" s="8"/>
      <c r="C438" s="8">
        <v>2022</v>
      </c>
      <c r="D438" s="10">
        <v>13.682804976260456</v>
      </c>
      <c r="E438" s="12">
        <v>278.14240799999999</v>
      </c>
      <c r="F438" s="11">
        <v>7.4537804905433971</v>
      </c>
      <c r="G438" s="12">
        <v>-1.0158892127731762E-2</v>
      </c>
      <c r="H438" s="12">
        <v>4.8256643768999997E-2</v>
      </c>
      <c r="I438" s="9"/>
      <c r="J438" s="9"/>
      <c r="K438" s="9"/>
    </row>
    <row r="439" spans="1:11" x14ac:dyDescent="0.35">
      <c r="A439" s="8">
        <v>5578992</v>
      </c>
      <c r="B439" s="8"/>
      <c r="C439" s="8">
        <v>2023</v>
      </c>
      <c r="D439" s="10">
        <v>8.1200290905774981</v>
      </c>
      <c r="E439" s="12">
        <v>346.75537300000002</v>
      </c>
      <c r="F439" s="11">
        <v>7.5093983324268834</v>
      </c>
      <c r="G439" s="12">
        <v>-8.0774291361380701E-3</v>
      </c>
      <c r="H439" s="12">
        <v>2.3176550772000003E-2</v>
      </c>
      <c r="I439" s="9"/>
      <c r="J439" s="9"/>
      <c r="K439" s="9"/>
    </row>
    <row r="440" spans="1:11" x14ac:dyDescent="0.35">
      <c r="A440" s="8">
        <v>5578992</v>
      </c>
      <c r="B440" s="8"/>
      <c r="C440" s="8">
        <v>2024</v>
      </c>
      <c r="D440" s="10">
        <v>5.8707810293290832</v>
      </c>
      <c r="E440" s="12">
        <v>350.35537299999999</v>
      </c>
      <c r="F440" s="11">
        <v>6.0499186014728865</v>
      </c>
      <c r="G440" s="12">
        <v>-5.9011594034191284E-3</v>
      </c>
      <c r="H440" s="12">
        <v>1.6708954752000002E-2</v>
      </c>
      <c r="I440" s="9"/>
      <c r="J440" s="9"/>
      <c r="K440" s="9"/>
    </row>
    <row r="441" spans="1:11" x14ac:dyDescent="0.35">
      <c r="A441" s="8">
        <v>5578992</v>
      </c>
      <c r="B441" s="8"/>
      <c r="C441" s="8">
        <v>2025</v>
      </c>
      <c r="D441" s="10">
        <v>12.425650843991095</v>
      </c>
      <c r="E441" s="12">
        <v>439.31215700000001</v>
      </c>
      <c r="F441" s="11">
        <v>5.3149996745602763</v>
      </c>
      <c r="G441" s="12">
        <v>-6.4779048750959788E-3</v>
      </c>
      <c r="H441" s="12">
        <v>2.1344717184000002E-2</v>
      </c>
      <c r="I441" s="9"/>
      <c r="J441" s="9"/>
      <c r="K441" s="9"/>
    </row>
  </sheetData>
  <dataValidations count="1">
    <dataValidation type="list" allowBlank="1" sqref="J3:J441" xr:uid="{00000000-0002-0000-0100-000000000000}">
      <formula1>"ones,thousands,millions,billions"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Block A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Remmy Nyongesa</cp:lastModifiedBy>
  <dcterms:created xsi:type="dcterms:W3CDTF">2026-09-18T11:12:42Z</dcterms:created>
  <dcterms:modified xsi:type="dcterms:W3CDTF">2026-09-22T20:32:28Z</dcterms:modified>
</cp:coreProperties>
</file>